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irl\Downloads\Nova pasta\Nova pasta\Automação Págamentos\Automação Pagamentos\"/>
    </mc:Choice>
  </mc:AlternateContent>
  <xr:revisionPtr revIDLastSave="0" documentId="13_ncr:1_{09A60D76-611E-4AC8-8959-8A2C8DC15C96}" xr6:coauthVersionLast="47" xr6:coauthVersionMax="47" xr10:uidLastSave="{00000000-0000-0000-0000-000000000000}"/>
  <bookViews>
    <workbookView xWindow="-120" yWindow="-120" windowWidth="29040" windowHeight="15720" tabRatio="783" activeTab="1" xr2:uid="{1C5219B3-A176-4EA0-BFBA-3BAECABF667B}"/>
  </bookViews>
  <sheets>
    <sheet name="ISPB" sheetId="14" r:id="rId1"/>
    <sheet name="Registros" sheetId="11" r:id="rId2"/>
    <sheet name="Header de Arquivo" sheetId="1" r:id="rId3"/>
    <sheet name="Header de Lote" sheetId="6" r:id="rId4"/>
    <sheet name="5.3. Detalhe Segmento A" sheetId="4" r:id="rId5"/>
    <sheet name="5.4. Detalhe Segmento B" sheetId="5" r:id="rId6"/>
    <sheet name="Trailer Lote" sheetId="3" r:id="rId7"/>
    <sheet name="Trailer Arquivo" sheetId="7" r:id="rId8"/>
    <sheet name="CNAB" sheetId="13" r:id="rId9"/>
  </sheets>
  <definedNames>
    <definedName name="_xlnm._FilterDatabase" localSheetId="4" hidden="1">'5.3. Detalhe Segmento A'!$A$5:$P$36</definedName>
    <definedName name="_xlnm._FilterDatabase" localSheetId="1" hidden="1">Registros!$A$2:$S$547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4" l="1"/>
  <c r="C27" i="4"/>
  <c r="B912" i="13"/>
  <c r="B911" i="13"/>
  <c r="B910" i="13"/>
  <c r="B909" i="13"/>
  <c r="B908" i="13"/>
  <c r="B907" i="13"/>
  <c r="B906" i="13"/>
  <c r="B905" i="13"/>
  <c r="B904" i="13"/>
  <c r="B903" i="13"/>
  <c r="B902" i="13"/>
  <c r="B901" i="13"/>
  <c r="B900" i="13"/>
  <c r="B899" i="13"/>
  <c r="B898" i="13"/>
  <c r="B897" i="13"/>
  <c r="B896" i="13"/>
  <c r="B895" i="13"/>
  <c r="B894" i="13"/>
  <c r="B893" i="13"/>
  <c r="B892" i="13"/>
  <c r="B891" i="13"/>
  <c r="B890" i="13"/>
  <c r="B889" i="13"/>
  <c r="B888" i="13"/>
  <c r="B887" i="13"/>
  <c r="B886" i="13"/>
  <c r="B885" i="13"/>
  <c r="B884" i="13"/>
  <c r="B883" i="13"/>
  <c r="B882" i="13"/>
  <c r="B881" i="13"/>
  <c r="B880" i="13"/>
  <c r="B879" i="13"/>
  <c r="B878" i="13"/>
  <c r="B877" i="13"/>
  <c r="B876" i="13"/>
  <c r="B875" i="13"/>
  <c r="B874" i="13"/>
  <c r="B873" i="13"/>
  <c r="B872" i="13"/>
  <c r="B871" i="13"/>
  <c r="B870" i="13"/>
  <c r="B869" i="13"/>
  <c r="B868" i="13"/>
  <c r="B867" i="13"/>
  <c r="B866" i="13"/>
  <c r="B865" i="13"/>
  <c r="B864" i="13"/>
  <c r="B863" i="13"/>
  <c r="B862" i="13"/>
  <c r="B861" i="13"/>
  <c r="B860" i="13"/>
  <c r="B859" i="13"/>
  <c r="B858" i="13"/>
  <c r="B857" i="13"/>
  <c r="B856" i="13"/>
  <c r="B855" i="13"/>
  <c r="B854" i="13"/>
  <c r="B853" i="13"/>
  <c r="B852" i="13"/>
  <c r="B851" i="13"/>
  <c r="B850" i="13"/>
  <c r="B849" i="13"/>
  <c r="B848" i="13"/>
  <c r="B847" i="13"/>
  <c r="B846" i="13"/>
  <c r="B845" i="13"/>
  <c r="B844" i="13"/>
  <c r="B843" i="13"/>
  <c r="B842" i="13"/>
  <c r="B841" i="13"/>
  <c r="B840" i="13"/>
  <c r="B839" i="13"/>
  <c r="B838" i="13"/>
  <c r="B837" i="13"/>
  <c r="B836" i="13"/>
  <c r="B835" i="13"/>
  <c r="B834" i="13"/>
  <c r="B833" i="13"/>
  <c r="B832" i="13"/>
  <c r="B831" i="13"/>
  <c r="B830" i="13"/>
  <c r="B829" i="13"/>
  <c r="B828" i="13"/>
  <c r="B827" i="13"/>
  <c r="B826" i="13"/>
  <c r="B825" i="13"/>
  <c r="B824" i="13"/>
  <c r="B823" i="13"/>
  <c r="B822" i="13"/>
  <c r="B821" i="13"/>
  <c r="B820" i="13"/>
  <c r="B819" i="13"/>
  <c r="B818" i="13"/>
  <c r="B817" i="13"/>
  <c r="B816" i="13"/>
  <c r="B815" i="13"/>
  <c r="B814" i="13"/>
  <c r="B813" i="13"/>
  <c r="B812" i="13"/>
  <c r="B811" i="13"/>
  <c r="B810" i="13"/>
  <c r="B809" i="13"/>
  <c r="B808" i="13"/>
  <c r="B807" i="13"/>
  <c r="B806" i="13"/>
  <c r="B805" i="13"/>
  <c r="B804" i="13"/>
  <c r="B803" i="13"/>
  <c r="B802" i="13"/>
  <c r="B801" i="13"/>
  <c r="B800" i="13"/>
  <c r="B799" i="13"/>
  <c r="B798" i="13"/>
  <c r="B797" i="13"/>
  <c r="B796" i="13"/>
  <c r="B795" i="13"/>
  <c r="B794" i="13"/>
  <c r="B793" i="13"/>
  <c r="B792" i="13"/>
  <c r="B791" i="13"/>
  <c r="B790" i="13"/>
  <c r="B789" i="13"/>
  <c r="B788" i="13"/>
  <c r="B787" i="13"/>
  <c r="B786" i="13"/>
  <c r="B785" i="13"/>
  <c r="B784" i="13"/>
  <c r="B783" i="13"/>
  <c r="B782" i="13"/>
  <c r="B781" i="13"/>
  <c r="B780" i="13"/>
  <c r="B779" i="13"/>
  <c r="B778" i="13"/>
  <c r="B777" i="13"/>
  <c r="B776" i="13"/>
  <c r="B775" i="13"/>
  <c r="B774" i="13"/>
  <c r="B773" i="13"/>
  <c r="B772" i="13"/>
  <c r="B771" i="13"/>
  <c r="B770" i="13"/>
  <c r="B769" i="13"/>
  <c r="B768" i="13"/>
  <c r="B767" i="13"/>
  <c r="B766" i="13"/>
  <c r="B765" i="13"/>
  <c r="B764" i="13"/>
  <c r="B763" i="13"/>
  <c r="B762" i="13"/>
  <c r="B761" i="13"/>
  <c r="B760" i="13"/>
  <c r="B759" i="13"/>
  <c r="B758" i="13"/>
  <c r="B757" i="13"/>
  <c r="B756" i="13"/>
  <c r="B755" i="13"/>
  <c r="B754" i="13"/>
  <c r="B753" i="13"/>
  <c r="B752" i="13"/>
  <c r="B751" i="13"/>
  <c r="B750" i="13"/>
  <c r="B749" i="13"/>
  <c r="B748" i="13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N9" i="11"/>
  <c r="B32" i="13"/>
  <c r="B33" i="13"/>
  <c r="B34" i="13"/>
  <c r="B35" i="13"/>
  <c r="B36" i="13"/>
  <c r="B37" i="13"/>
  <c r="B38" i="13"/>
  <c r="Q4" i="11"/>
  <c r="F1" i="11"/>
  <c r="C10" i="3" s="1"/>
  <c r="Q11" i="11"/>
  <c r="Q12" i="11"/>
  <c r="Q3" i="11"/>
  <c r="O3" i="11"/>
  <c r="R3" i="11"/>
  <c r="N4" i="11"/>
  <c r="R4" i="11"/>
  <c r="N5" i="11"/>
  <c r="Q5" i="11"/>
  <c r="R5" i="11"/>
  <c r="N6" i="11"/>
  <c r="Q6" i="11"/>
  <c r="R6" i="11"/>
  <c r="N7" i="11"/>
  <c r="Q7" i="11"/>
  <c r="R7" i="11"/>
  <c r="N8" i="11"/>
  <c r="Q8" i="11"/>
  <c r="R8" i="11"/>
  <c r="Q9" i="11"/>
  <c r="R9" i="11"/>
  <c r="N10" i="11"/>
  <c r="R10" i="11"/>
  <c r="N11" i="11"/>
  <c r="R11" i="11"/>
  <c r="N12" i="11"/>
  <c r="R12" i="11"/>
  <c r="N13" i="11"/>
  <c r="Q13" i="11"/>
  <c r="R13" i="11"/>
  <c r="N14" i="11"/>
  <c r="Q14" i="11"/>
  <c r="R14" i="11"/>
  <c r="N15" i="11"/>
  <c r="Q15" i="11"/>
  <c r="R15" i="11"/>
  <c r="N16" i="11"/>
  <c r="Q16" i="11"/>
  <c r="R16" i="11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C23" i="6"/>
  <c r="B24" i="1"/>
  <c r="C24" i="1" s="1"/>
  <c r="E24" i="1" s="1"/>
  <c r="G24" i="1" s="1"/>
  <c r="B2" i="13"/>
  <c r="B3" i="13"/>
  <c r="B4" i="13"/>
  <c r="B5" i="13"/>
  <c r="B6" i="13"/>
  <c r="B1" i="13"/>
  <c r="C12" i="6"/>
  <c r="C11" i="6"/>
  <c r="C10" i="6"/>
  <c r="C7" i="1"/>
  <c r="D32" i="4"/>
  <c r="D24" i="4"/>
  <c r="D20" i="4"/>
  <c r="F20" i="4" s="1"/>
  <c r="H20" i="4" s="1"/>
  <c r="C9" i="1"/>
  <c r="D9" i="4"/>
  <c r="E7" i="1"/>
  <c r="G7" i="1" s="1"/>
  <c r="D6" i="4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D14" i="4"/>
  <c r="D15" i="4"/>
  <c r="D17" i="4"/>
  <c r="F17" i="4" s="1"/>
  <c r="H17" i="4" s="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R452" i="11"/>
  <c r="R453" i="11"/>
  <c r="R454" i="11"/>
  <c r="R455" i="11"/>
  <c r="R456" i="11"/>
  <c r="R457" i="11"/>
  <c r="R458" i="11"/>
  <c r="R459" i="11"/>
  <c r="R460" i="11"/>
  <c r="R461" i="11"/>
  <c r="R462" i="11"/>
  <c r="R463" i="11"/>
  <c r="R464" i="11"/>
  <c r="R465" i="11"/>
  <c r="R466" i="11"/>
  <c r="R467" i="11"/>
  <c r="R468" i="11"/>
  <c r="R469" i="11"/>
  <c r="R470" i="11"/>
  <c r="R471" i="11"/>
  <c r="R472" i="11"/>
  <c r="R473" i="11"/>
  <c r="R474" i="11"/>
  <c r="R475" i="11"/>
  <c r="R476" i="11"/>
  <c r="R477" i="11"/>
  <c r="R478" i="11"/>
  <c r="R479" i="11"/>
  <c r="R480" i="11"/>
  <c r="R481" i="11"/>
  <c r="R482" i="11"/>
  <c r="R483" i="11"/>
  <c r="R484" i="11"/>
  <c r="R485" i="11"/>
  <c r="R486" i="11"/>
  <c r="R487" i="11"/>
  <c r="R488" i="11"/>
  <c r="R489" i="11"/>
  <c r="R490" i="11"/>
  <c r="R491" i="11"/>
  <c r="R492" i="11"/>
  <c r="R493" i="11"/>
  <c r="R494" i="11"/>
  <c r="R495" i="11"/>
  <c r="R496" i="11"/>
  <c r="R497" i="11"/>
  <c r="R498" i="11"/>
  <c r="R499" i="11"/>
  <c r="R500" i="11"/>
  <c r="R501" i="11"/>
  <c r="R502" i="11"/>
  <c r="R503" i="11"/>
  <c r="R504" i="11"/>
  <c r="R505" i="11"/>
  <c r="R506" i="11"/>
  <c r="R507" i="11"/>
  <c r="R508" i="11"/>
  <c r="R509" i="11"/>
  <c r="R510" i="11"/>
  <c r="R511" i="11"/>
  <c r="R512" i="11"/>
  <c r="R513" i="11"/>
  <c r="R514" i="11"/>
  <c r="R515" i="11"/>
  <c r="R516" i="11"/>
  <c r="R517" i="11"/>
  <c r="R518" i="11"/>
  <c r="R519" i="11"/>
  <c r="R520" i="11"/>
  <c r="R521" i="11"/>
  <c r="R522" i="11"/>
  <c r="R523" i="11"/>
  <c r="R524" i="11"/>
  <c r="R525" i="11"/>
  <c r="R526" i="11"/>
  <c r="R527" i="11"/>
  <c r="R528" i="11"/>
  <c r="R529" i="11"/>
  <c r="R530" i="11"/>
  <c r="R531" i="11"/>
  <c r="R532" i="11"/>
  <c r="R533" i="11"/>
  <c r="R534" i="11"/>
  <c r="R535" i="11"/>
  <c r="R536" i="11"/>
  <c r="R537" i="11"/>
  <c r="R538" i="11"/>
  <c r="R539" i="11"/>
  <c r="R540" i="11"/>
  <c r="R541" i="11"/>
  <c r="R542" i="11"/>
  <c r="R543" i="11"/>
  <c r="R544" i="11"/>
  <c r="R545" i="11"/>
  <c r="R546" i="11"/>
  <c r="R547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C7" i="3"/>
  <c r="D7" i="3" s="1"/>
  <c r="F7" i="3" s="1"/>
  <c r="C7" i="5"/>
  <c r="D7" i="5" s="1"/>
  <c r="F7" i="5" s="1"/>
  <c r="H7" i="5" s="1"/>
  <c r="C7" i="4"/>
  <c r="D7" i="4" s="1"/>
  <c r="F7" i="4" s="1"/>
  <c r="H7" i="4" s="1"/>
  <c r="B7" i="6"/>
  <c r="C7" i="6" s="1"/>
  <c r="E7" i="6" s="1"/>
  <c r="G7" i="6" s="1"/>
  <c r="D12" i="7"/>
  <c r="F12" i="7" s="1"/>
  <c r="H12" i="7" s="1"/>
  <c r="D13" i="7"/>
  <c r="F13" i="7" s="1"/>
  <c r="H13" i="7" s="1"/>
  <c r="D10" i="7"/>
  <c r="F10" i="7" s="1"/>
  <c r="D9" i="7"/>
  <c r="D8" i="7"/>
  <c r="F8" i="7" s="1"/>
  <c r="H8" i="7" s="1"/>
  <c r="D7" i="7"/>
  <c r="F7" i="7" s="1"/>
  <c r="H7" i="7" s="1"/>
  <c r="D6" i="7"/>
  <c r="D12" i="3"/>
  <c r="F12" i="3" s="1"/>
  <c r="D13" i="3"/>
  <c r="F13" i="3" s="1"/>
  <c r="H13" i="3" s="1"/>
  <c r="D15" i="3"/>
  <c r="F15" i="3" s="1"/>
  <c r="D14" i="3"/>
  <c r="F14" i="3" s="1"/>
  <c r="H14" i="3" s="1"/>
  <c r="I12" i="3"/>
  <c r="J12" i="3" s="1"/>
  <c r="E12" i="3" s="1" a="1"/>
  <c r="E12" i="3" s="1"/>
  <c r="I13" i="3"/>
  <c r="J13" i="3" s="1"/>
  <c r="E13" i="3" s="1" a="1"/>
  <c r="E13" i="3" s="1"/>
  <c r="I14" i="3"/>
  <c r="J14" i="3" s="1"/>
  <c r="E14" i="3" s="1" a="1"/>
  <c r="E14" i="3" s="1"/>
  <c r="I15" i="3"/>
  <c r="J15" i="3" s="1"/>
  <c r="E15" i="3" s="1" a="1"/>
  <c r="E15" i="3" s="1"/>
  <c r="I9" i="3"/>
  <c r="J9" i="3" s="1"/>
  <c r="E9" i="3" s="1" a="1"/>
  <c r="E9" i="3" s="1"/>
  <c r="I8" i="3"/>
  <c r="J8" i="3" s="1"/>
  <c r="E8" i="3" s="1" a="1"/>
  <c r="E8" i="3" s="1"/>
  <c r="D12" i="5"/>
  <c r="F12" i="5" s="1"/>
  <c r="H12" i="5" s="1"/>
  <c r="F11" i="5"/>
  <c r="H11" i="5" s="1"/>
  <c r="D6" i="5"/>
  <c r="C11" i="3"/>
  <c r="D11" i="3" s="1"/>
  <c r="F11" i="3" s="1"/>
  <c r="I8" i="5"/>
  <c r="J8" i="5" s="1"/>
  <c r="E8" i="5" s="1" a="1"/>
  <c r="E8" i="5" s="1"/>
  <c r="I9" i="5"/>
  <c r="J9" i="5" s="1"/>
  <c r="E9" i="5" s="1" a="1"/>
  <c r="E9" i="5" s="1"/>
  <c r="I10" i="5"/>
  <c r="J10" i="5" s="1"/>
  <c r="E10" i="5" s="1" a="1"/>
  <c r="E10" i="5" s="1"/>
  <c r="I11" i="5"/>
  <c r="J11" i="5" s="1"/>
  <c r="E11" i="5" s="1" a="1"/>
  <c r="E11" i="5" s="1"/>
  <c r="I12" i="5"/>
  <c r="J12" i="5" s="1"/>
  <c r="E12" i="5" s="1" a="1"/>
  <c r="E12" i="5" s="1"/>
  <c r="I13" i="5"/>
  <c r="J13" i="5" s="1"/>
  <c r="E13" i="5" s="1" a="1"/>
  <c r="E13" i="5" s="1"/>
  <c r="I14" i="5"/>
  <c r="J14" i="5" s="1"/>
  <c r="E14" i="5" s="1" a="1"/>
  <c r="E14" i="5" s="1"/>
  <c r="I15" i="5"/>
  <c r="J15" i="5" s="1"/>
  <c r="E15" i="5" s="1" a="1"/>
  <c r="E15" i="5" s="1"/>
  <c r="I16" i="5"/>
  <c r="J16" i="5" s="1"/>
  <c r="E16" i="5" s="1" a="1"/>
  <c r="E16" i="5" s="1"/>
  <c r="I17" i="5"/>
  <c r="J17" i="5" s="1"/>
  <c r="E17" i="5" s="1" a="1"/>
  <c r="E17" i="5" s="1"/>
  <c r="I18" i="5"/>
  <c r="J18" i="5"/>
  <c r="E18" i="5" s="1" a="1"/>
  <c r="E18" i="5" s="1"/>
  <c r="D9" i="3"/>
  <c r="D8" i="3"/>
  <c r="F8" i="3" s="1"/>
  <c r="H8" i="3" s="1"/>
  <c r="D6" i="3"/>
  <c r="F6" i="3" s="1"/>
  <c r="G6" i="3" s="1"/>
  <c r="I6" i="5"/>
  <c r="J6" i="5" s="1"/>
  <c r="E6" i="5" s="1"/>
  <c r="I13" i="7"/>
  <c r="J13" i="7" s="1"/>
  <c r="E13" i="7" s="1" a="1"/>
  <c r="E13" i="7" s="1"/>
  <c r="I12" i="7"/>
  <c r="J12" i="7" s="1"/>
  <c r="E12" i="7" s="1" a="1"/>
  <c r="E12" i="7" s="1"/>
  <c r="I10" i="7"/>
  <c r="J10" i="7" s="1"/>
  <c r="E10" i="7" s="1" a="1"/>
  <c r="E10" i="7" s="1"/>
  <c r="I9" i="7"/>
  <c r="J9" i="7" s="1"/>
  <c r="E9" i="7" s="1" a="1"/>
  <c r="E9" i="7" s="1"/>
  <c r="F9" i="7"/>
  <c r="H9" i="7" s="1"/>
  <c r="I8" i="7"/>
  <c r="J8" i="7" s="1"/>
  <c r="E8" i="7" s="1" a="1"/>
  <c r="E8" i="7" s="1"/>
  <c r="I7" i="7"/>
  <c r="J7" i="7" s="1"/>
  <c r="E7" i="7" s="1" a="1"/>
  <c r="E7" i="7" s="1"/>
  <c r="D18" i="5"/>
  <c r="F18" i="5" s="1"/>
  <c r="H18" i="5" s="1"/>
  <c r="D16" i="5"/>
  <c r="F16" i="5" s="1"/>
  <c r="H16" i="5" s="1"/>
  <c r="D15" i="5"/>
  <c r="F15" i="5" s="1"/>
  <c r="H15" i="5" s="1"/>
  <c r="D14" i="5"/>
  <c r="F14" i="5" s="1"/>
  <c r="D13" i="5"/>
  <c r="F13" i="5" s="1"/>
  <c r="H13" i="5" s="1"/>
  <c r="D36" i="4"/>
  <c r="F36" i="4" s="1"/>
  <c r="D33" i="4"/>
  <c r="F33" i="4" s="1"/>
  <c r="F32" i="4"/>
  <c r="H32" i="4" s="1"/>
  <c r="D30" i="4"/>
  <c r="F29" i="4" s="1"/>
  <c r="D29" i="4"/>
  <c r="H30" i="4"/>
  <c r="D17" i="5"/>
  <c r="F17" i="5" s="1"/>
  <c r="H17" i="5" s="1"/>
  <c r="D9" i="5"/>
  <c r="F9" i="5" s="1"/>
  <c r="H9" i="5" s="1"/>
  <c r="D10" i="5"/>
  <c r="F10" i="5" s="1"/>
  <c r="H10" i="5" s="1"/>
  <c r="C19" i="1"/>
  <c r="E19" i="1" s="1"/>
  <c r="G19" i="1" s="1"/>
  <c r="F24" i="4"/>
  <c r="H24" i="4" s="1"/>
  <c r="D34" i="4"/>
  <c r="D25" i="4"/>
  <c r="F25" i="4" s="1"/>
  <c r="H25" i="4" s="1"/>
  <c r="D26" i="4"/>
  <c r="F26" i="4"/>
  <c r="H26" i="4" s="1"/>
  <c r="I26" i="4"/>
  <c r="J26" i="4" s="1"/>
  <c r="E26" i="4" s="1" a="1"/>
  <c r="E26" i="4" s="1"/>
  <c r="I28" i="4"/>
  <c r="J28" i="4" s="1"/>
  <c r="E28" i="4" s="1" a="1"/>
  <c r="E28" i="4" s="1"/>
  <c r="D35" i="4"/>
  <c r="D13" i="4"/>
  <c r="F13" i="4" s="1"/>
  <c r="H13" i="4" s="1"/>
  <c r="D12" i="4"/>
  <c r="F12" i="4" s="1"/>
  <c r="H12" i="4" s="1"/>
  <c r="D31" i="4"/>
  <c r="F31" i="4" s="1"/>
  <c r="H31" i="4" s="1"/>
  <c r="D27" i="4"/>
  <c r="D23" i="4"/>
  <c r="F23" i="4" s="1"/>
  <c r="H23" i="4" s="1"/>
  <c r="D21" i="4"/>
  <c r="F21" i="4" s="1"/>
  <c r="H21" i="4" s="1"/>
  <c r="D19" i="4"/>
  <c r="F19" i="4" s="1"/>
  <c r="H19" i="4" s="1"/>
  <c r="D18" i="4"/>
  <c r="F18" i="4" s="1"/>
  <c r="H18" i="4" s="1"/>
  <c r="D16" i="4"/>
  <c r="F16" i="4" s="1"/>
  <c r="H16" i="4" s="1"/>
  <c r="F15" i="4"/>
  <c r="H15" i="4" s="1"/>
  <c r="E29" i="1"/>
  <c r="D8" i="5"/>
  <c r="F8" i="5" s="1"/>
  <c r="D10" i="4"/>
  <c r="F10" i="4" s="1"/>
  <c r="H10" i="4" s="1"/>
  <c r="D11" i="4"/>
  <c r="F11" i="4" s="1"/>
  <c r="H11" i="4" s="1"/>
  <c r="F9" i="4"/>
  <c r="H9" i="4" s="1"/>
  <c r="C22" i="4"/>
  <c r="D22" i="4" s="1"/>
  <c r="F22" i="4" s="1"/>
  <c r="H22" i="4" s="1"/>
  <c r="D8" i="4"/>
  <c r="F8" i="4" s="1"/>
  <c r="H8" i="4" s="1"/>
  <c r="I6" i="4"/>
  <c r="J6" i="4" s="1"/>
  <c r="E6" i="4" s="1"/>
  <c r="I33" i="4"/>
  <c r="J33" i="4" s="1"/>
  <c r="E33" i="4" s="1" a="1"/>
  <c r="E33" i="4" s="1"/>
  <c r="F34" i="4"/>
  <c r="H34" i="4" s="1"/>
  <c r="I34" i="4"/>
  <c r="J34" i="4" s="1"/>
  <c r="E34" i="4" s="1" a="1"/>
  <c r="E34" i="4" s="1"/>
  <c r="F35" i="4"/>
  <c r="H35" i="4" s="1"/>
  <c r="I35" i="4"/>
  <c r="J35" i="4" s="1"/>
  <c r="E35" i="4" s="1" a="1"/>
  <c r="E35" i="4" s="1"/>
  <c r="I36" i="4"/>
  <c r="J36" i="4" s="1"/>
  <c r="E36" i="4" s="1" a="1"/>
  <c r="E36" i="4" s="1"/>
  <c r="I32" i="4"/>
  <c r="J32" i="4" s="1"/>
  <c r="E32" i="4" s="1" a="1"/>
  <c r="E32" i="4" s="1"/>
  <c r="I31" i="4"/>
  <c r="J31" i="4" s="1"/>
  <c r="E31" i="4" s="1" a="1"/>
  <c r="E31" i="4" s="1"/>
  <c r="I30" i="4"/>
  <c r="J30" i="4" s="1"/>
  <c r="E30" i="4" s="1" a="1"/>
  <c r="E30" i="4" s="1"/>
  <c r="I29" i="4"/>
  <c r="J29" i="4" s="1"/>
  <c r="E29" i="4" s="1" a="1"/>
  <c r="E29" i="4" s="1"/>
  <c r="I24" i="4"/>
  <c r="J24" i="4" s="1"/>
  <c r="E24" i="4" s="1" a="1"/>
  <c r="E24" i="4" s="1"/>
  <c r="I23" i="4"/>
  <c r="J23" i="4" s="1"/>
  <c r="E23" i="4" s="1" a="1"/>
  <c r="E23" i="4" s="1"/>
  <c r="I21" i="4"/>
  <c r="J21" i="4" s="1"/>
  <c r="E21" i="4" s="1" a="1"/>
  <c r="E21" i="4" s="1"/>
  <c r="I19" i="4"/>
  <c r="J19" i="4" s="1"/>
  <c r="E19" i="4" s="1" a="1"/>
  <c r="E19" i="4" s="1"/>
  <c r="I18" i="4"/>
  <c r="J18" i="4" s="1"/>
  <c r="E18" i="4" s="1" a="1"/>
  <c r="E18" i="4" s="1"/>
  <c r="I17" i="4"/>
  <c r="J17" i="4" s="1"/>
  <c r="E17" i="4" s="1" a="1"/>
  <c r="E17" i="4" s="1"/>
  <c r="I16" i="4"/>
  <c r="J16" i="4" s="1"/>
  <c r="E16" i="4" s="1" a="1"/>
  <c r="E16" i="4" s="1"/>
  <c r="I15" i="4"/>
  <c r="J15" i="4" s="1"/>
  <c r="E15" i="4" s="1" a="1"/>
  <c r="E15" i="4" s="1"/>
  <c r="I13" i="4"/>
  <c r="J13" i="4" s="1"/>
  <c r="E13" i="4" s="1" a="1"/>
  <c r="E13" i="4" s="1"/>
  <c r="I12" i="4"/>
  <c r="J12" i="4" s="1"/>
  <c r="E12" i="4" s="1" a="1"/>
  <c r="E12" i="4" s="1"/>
  <c r="I11" i="4"/>
  <c r="J11" i="4" s="1"/>
  <c r="E11" i="4" s="1" a="1"/>
  <c r="E11" i="4" s="1"/>
  <c r="I10" i="4"/>
  <c r="J10" i="4" s="1"/>
  <c r="E10" i="4" s="1" a="1"/>
  <c r="E10" i="4" s="1"/>
  <c r="I9" i="4"/>
  <c r="J9" i="4" s="1"/>
  <c r="E9" i="4" s="1" a="1"/>
  <c r="E9" i="4" s="1"/>
  <c r="I8" i="4"/>
  <c r="J8" i="4" s="1"/>
  <c r="E8" i="4" s="1" a="1"/>
  <c r="E8" i="4" s="1"/>
  <c r="C30" i="6"/>
  <c r="E30" i="6" s="1"/>
  <c r="G30" i="6" s="1"/>
  <c r="C29" i="6"/>
  <c r="E29" i="6" s="1"/>
  <c r="G29" i="6" s="1"/>
  <c r="C28" i="6"/>
  <c r="E28" i="6" s="1"/>
  <c r="G28" i="6" s="1"/>
  <c r="C27" i="6"/>
  <c r="E27" i="6" s="1"/>
  <c r="G27" i="6" s="1"/>
  <c r="C26" i="6"/>
  <c r="E26" i="6" s="1"/>
  <c r="G26" i="6" s="1"/>
  <c r="C24" i="6"/>
  <c r="E24" i="6" s="1"/>
  <c r="G24" i="6" s="1"/>
  <c r="C16" i="6"/>
  <c r="E16" i="6" s="1"/>
  <c r="G16" i="6" s="1"/>
  <c r="C12" i="1"/>
  <c r="E11" i="6"/>
  <c r="G11" i="6" s="1"/>
  <c r="E10" i="6"/>
  <c r="G10" i="6" s="1"/>
  <c r="E12" i="6"/>
  <c r="G12" i="6" s="1"/>
  <c r="C32" i="6"/>
  <c r="E32" i="6" s="1"/>
  <c r="G32" i="6" s="1"/>
  <c r="H31" i="6"/>
  <c r="I31" i="6" s="1"/>
  <c r="D31" i="6" s="1" a="1"/>
  <c r="D31" i="6" s="1"/>
  <c r="H32" i="6"/>
  <c r="I32" i="6" s="1"/>
  <c r="D32" i="6" s="1" a="1"/>
  <c r="D32" i="6" s="1"/>
  <c r="C31" i="6"/>
  <c r="E31" i="6" s="1"/>
  <c r="G31" i="6" s="1"/>
  <c r="E23" i="6"/>
  <c r="G23" i="6" s="1"/>
  <c r="C21" i="6"/>
  <c r="E21" i="6" s="1"/>
  <c r="G21" i="6" s="1"/>
  <c r="C20" i="6"/>
  <c r="E20" i="6" s="1"/>
  <c r="G20" i="6" s="1"/>
  <c r="C19" i="6"/>
  <c r="E19" i="6" s="1"/>
  <c r="G19" i="6" s="1"/>
  <c r="C18" i="6"/>
  <c r="C17" i="6"/>
  <c r="E17" i="6" s="1"/>
  <c r="G17" i="6" s="1"/>
  <c r="C15" i="6"/>
  <c r="E15" i="6" s="1"/>
  <c r="G15" i="6" s="1"/>
  <c r="C14" i="6"/>
  <c r="E14" i="6" s="1"/>
  <c r="G14" i="6" s="1"/>
  <c r="C13" i="6"/>
  <c r="C6" i="1"/>
  <c r="E6" i="1" s="1"/>
  <c r="C25" i="6"/>
  <c r="E25" i="6" s="1"/>
  <c r="G25" i="6" s="1"/>
  <c r="B23" i="1"/>
  <c r="C23" i="1" s="1"/>
  <c r="H22" i="6"/>
  <c r="I22" i="6" s="1"/>
  <c r="D22" i="6" s="1" a="1"/>
  <c r="D22" i="6" s="1"/>
  <c r="C9" i="6"/>
  <c r="E9" i="6" s="1"/>
  <c r="G9" i="6" s="1"/>
  <c r="C8" i="6"/>
  <c r="E8" i="6" s="1"/>
  <c r="G8" i="6" s="1"/>
  <c r="C10" i="1"/>
  <c r="E10" i="1" s="1"/>
  <c r="G10" i="1" s="1"/>
  <c r="H1" i="1"/>
  <c r="I1" i="1" s="1"/>
  <c r="D1" i="1" s="1" a="1"/>
  <c r="D1" i="1" s="1"/>
  <c r="E1" i="1"/>
  <c r="C6" i="6"/>
  <c r="E6" i="6" s="1"/>
  <c r="F6" i="6" s="1"/>
  <c r="H6" i="6"/>
  <c r="I6" i="6" s="1"/>
  <c r="D6" i="6" s="1"/>
  <c r="H30" i="6"/>
  <c r="I30" i="6" s="1"/>
  <c r="D30" i="6" s="1" a="1"/>
  <c r="D30" i="6" s="1"/>
  <c r="H29" i="6"/>
  <c r="I29" i="6" s="1"/>
  <c r="D29" i="6" s="1" a="1"/>
  <c r="D29" i="6" s="1"/>
  <c r="H28" i="6"/>
  <c r="I28" i="6" s="1"/>
  <c r="D28" i="6" s="1" a="1"/>
  <c r="D28" i="6" s="1"/>
  <c r="H27" i="6"/>
  <c r="I27" i="6" s="1"/>
  <c r="D27" i="6" s="1" a="1"/>
  <c r="D27" i="6" s="1"/>
  <c r="H26" i="6"/>
  <c r="I26" i="6" s="1"/>
  <c r="D26" i="6" s="1" a="1"/>
  <c r="D26" i="6" s="1"/>
  <c r="H25" i="6"/>
  <c r="I25" i="6" s="1"/>
  <c r="D25" i="6" s="1" a="1"/>
  <c r="D25" i="6" s="1"/>
  <c r="H24" i="6"/>
  <c r="I24" i="6" s="1"/>
  <c r="D24" i="6" s="1" a="1"/>
  <c r="D24" i="6" s="1"/>
  <c r="H23" i="6"/>
  <c r="I23" i="6" s="1"/>
  <c r="D23" i="6" s="1" a="1"/>
  <c r="D23" i="6" s="1"/>
  <c r="H21" i="6"/>
  <c r="I21" i="6" s="1"/>
  <c r="D21" i="6" s="1" a="1"/>
  <c r="D21" i="6" s="1"/>
  <c r="H20" i="6"/>
  <c r="I20" i="6" s="1"/>
  <c r="D20" i="6" s="1" a="1"/>
  <c r="D20" i="6" s="1"/>
  <c r="H19" i="6"/>
  <c r="I19" i="6" s="1"/>
  <c r="D19" i="6" s="1" a="1"/>
  <c r="D19" i="6" s="1"/>
  <c r="H18" i="6"/>
  <c r="I18" i="6" s="1"/>
  <c r="D18" i="6" s="1" a="1"/>
  <c r="D18" i="6" s="1"/>
  <c r="E18" i="6"/>
  <c r="G18" i="6" s="1"/>
  <c r="H17" i="6"/>
  <c r="I17" i="6" s="1"/>
  <c r="D17" i="6" s="1" a="1"/>
  <c r="D17" i="6" s="1"/>
  <c r="H16" i="6"/>
  <c r="I16" i="6" s="1"/>
  <c r="D16" i="6" s="1" a="1"/>
  <c r="D16" i="6" s="1"/>
  <c r="H14" i="6"/>
  <c r="I14" i="6" s="1"/>
  <c r="D14" i="6" s="1" a="1"/>
  <c r="D14" i="6" s="1"/>
  <c r="H13" i="6"/>
  <c r="I13" i="6" s="1"/>
  <c r="D13" i="6" s="1" a="1"/>
  <c r="D13" i="6" s="1"/>
  <c r="E13" i="6"/>
  <c r="G13" i="6" s="1"/>
  <c r="H12" i="6"/>
  <c r="I12" i="6" s="1"/>
  <c r="D12" i="6" s="1" a="1"/>
  <c r="D12" i="6" s="1"/>
  <c r="H11" i="6"/>
  <c r="I11" i="6" s="1"/>
  <c r="D11" i="6" s="1" a="1"/>
  <c r="D11" i="6" s="1"/>
  <c r="H10" i="6"/>
  <c r="I10" i="6" s="1"/>
  <c r="D10" i="6" s="1" a="1"/>
  <c r="D10" i="6" s="1"/>
  <c r="H9" i="6"/>
  <c r="I9" i="6" s="1"/>
  <c r="D9" i="6" s="1" a="1"/>
  <c r="D9" i="6" s="1"/>
  <c r="H8" i="6"/>
  <c r="I8" i="6" s="1"/>
  <c r="D8" i="6" s="1" a="1"/>
  <c r="D8" i="6" s="1"/>
  <c r="E36" i="1"/>
  <c r="F36" i="1"/>
  <c r="H36" i="1" s="1"/>
  <c r="D36" i="1" s="1" a="1"/>
  <c r="D36" i="1" s="1"/>
  <c r="E37" i="1"/>
  <c r="F37" i="1"/>
  <c r="H37" i="1" s="1"/>
  <c r="D37" i="1" s="1" a="1"/>
  <c r="D37" i="1" s="1"/>
  <c r="E38" i="1"/>
  <c r="F38" i="1"/>
  <c r="H38" i="1" s="1"/>
  <c r="D38" i="1" s="1" a="1"/>
  <c r="D38" i="1" s="1"/>
  <c r="E39" i="1"/>
  <c r="F39" i="1"/>
  <c r="H39" i="1" s="1"/>
  <c r="D39" i="1" s="1" a="1"/>
  <c r="D39" i="1" s="1"/>
  <c r="C29" i="1"/>
  <c r="C28" i="1"/>
  <c r="E28" i="1" s="1"/>
  <c r="G28" i="1" s="1"/>
  <c r="C27" i="1"/>
  <c r="E27" i="1" s="1"/>
  <c r="G27" i="1" s="1"/>
  <c r="C26" i="1"/>
  <c r="E26" i="1" s="1"/>
  <c r="G26" i="1" s="1"/>
  <c r="C25" i="1"/>
  <c r="E25" i="1" s="1"/>
  <c r="G25" i="1" s="1"/>
  <c r="H25" i="1"/>
  <c r="I25" i="1" s="1"/>
  <c r="D25" i="1" s="1" a="1"/>
  <c r="D25" i="1" s="1"/>
  <c r="H26" i="1"/>
  <c r="I26" i="1" s="1"/>
  <c r="D26" i="1" s="1" a="1"/>
  <c r="D26" i="1" s="1"/>
  <c r="H27" i="1"/>
  <c r="I27" i="1" s="1"/>
  <c r="D27" i="1" s="1" a="1"/>
  <c r="D27" i="1" s="1"/>
  <c r="H28" i="1"/>
  <c r="I28" i="1" s="1"/>
  <c r="D28" i="1" s="1" a="1"/>
  <c r="D28" i="1" s="1"/>
  <c r="H29" i="1"/>
  <c r="I29" i="1" s="1"/>
  <c r="D29" i="1" s="1" a="1"/>
  <c r="D29" i="1" s="1"/>
  <c r="F32" i="1"/>
  <c r="H32" i="1" s="1"/>
  <c r="D32" i="1" s="1" a="1"/>
  <c r="D32" i="1" s="1"/>
  <c r="F33" i="1"/>
  <c r="H33" i="1" s="1"/>
  <c r="D33" i="1" s="1" a="1"/>
  <c r="D33" i="1" s="1"/>
  <c r="B22" i="1"/>
  <c r="H22" i="1" s="1"/>
  <c r="I22" i="1" s="1"/>
  <c r="D22" i="1" s="1" a="1"/>
  <c r="D22" i="1" s="1"/>
  <c r="C21" i="1"/>
  <c r="E21" i="1" s="1"/>
  <c r="G21" i="1" s="1"/>
  <c r="C20" i="1"/>
  <c r="E20" i="1" s="1"/>
  <c r="G20" i="1" s="1"/>
  <c r="E32" i="1"/>
  <c r="E33" i="1"/>
  <c r="H8" i="1"/>
  <c r="I8" i="1" s="1"/>
  <c r="D8" i="1" s="1" a="1"/>
  <c r="D8" i="1" s="1"/>
  <c r="H9" i="1"/>
  <c r="I9" i="1" s="1"/>
  <c r="D9" i="1" s="1" a="1"/>
  <c r="D9" i="1" s="1"/>
  <c r="H11" i="1"/>
  <c r="I11" i="1" s="1"/>
  <c r="D11" i="1" s="1" a="1"/>
  <c r="D11" i="1" s="1"/>
  <c r="H12" i="1"/>
  <c r="I12" i="1" s="1"/>
  <c r="D12" i="1" s="1" a="1"/>
  <c r="D12" i="1" s="1"/>
  <c r="H13" i="1"/>
  <c r="I13" i="1" s="1"/>
  <c r="D13" i="1" s="1" a="1"/>
  <c r="D13" i="1" s="1"/>
  <c r="H14" i="1"/>
  <c r="I14" i="1" s="1"/>
  <c r="D14" i="1" s="1" a="1"/>
  <c r="D14" i="1" s="1"/>
  <c r="H15" i="1"/>
  <c r="I15" i="1" s="1"/>
  <c r="D15" i="1" s="1" a="1"/>
  <c r="D15" i="1" s="1"/>
  <c r="H16" i="1"/>
  <c r="I16" i="1" s="1"/>
  <c r="D16" i="1" s="1" a="1"/>
  <c r="D16" i="1" s="1"/>
  <c r="H17" i="1"/>
  <c r="I17" i="1" s="1"/>
  <c r="D17" i="1" s="1" a="1"/>
  <c r="D17" i="1" s="1"/>
  <c r="H20" i="1"/>
  <c r="I20" i="1" s="1"/>
  <c r="D20" i="1" s="1" a="1"/>
  <c r="D20" i="1" s="1"/>
  <c r="H21" i="1"/>
  <c r="I21" i="1" s="1"/>
  <c r="D21" i="1" s="1" a="1"/>
  <c r="D21" i="1" s="1"/>
  <c r="C17" i="1"/>
  <c r="E17" i="1" s="1"/>
  <c r="G17" i="1" s="1"/>
  <c r="C16" i="1"/>
  <c r="E16" i="1" s="1"/>
  <c r="G16" i="1" s="1"/>
  <c r="C15" i="1"/>
  <c r="E15" i="1" s="1"/>
  <c r="G15" i="1" s="1"/>
  <c r="C14" i="1"/>
  <c r="E14" i="1" s="1"/>
  <c r="G14" i="1" s="1"/>
  <c r="C13" i="1"/>
  <c r="E13" i="1" s="1"/>
  <c r="G13" i="1" s="1"/>
  <c r="E12" i="1"/>
  <c r="G12" i="1" s="1"/>
  <c r="C11" i="1"/>
  <c r="E11" i="1" s="1"/>
  <c r="G11" i="1" s="1"/>
  <c r="E9" i="1"/>
  <c r="G9" i="1" s="1"/>
  <c r="C8" i="1"/>
  <c r="E8" i="1" s="1"/>
  <c r="G8" i="1" s="1"/>
  <c r="N3" i="11" l="1"/>
  <c r="P3" i="11"/>
  <c r="Q10" i="11"/>
  <c r="H29" i="4"/>
  <c r="H24" i="1"/>
  <c r="I24" i="1" s="1"/>
  <c r="D24" i="1" s="1" a="1"/>
  <c r="D24" i="1" s="1"/>
  <c r="I7" i="4"/>
  <c r="J7" i="4" s="1"/>
  <c r="E7" i="4" s="1" a="1"/>
  <c r="E7" i="4" s="1"/>
  <c r="G29" i="1"/>
  <c r="I6" i="7"/>
  <c r="J6" i="7" s="1"/>
  <c r="E6" i="7" s="1"/>
  <c r="C11" i="7"/>
  <c r="I10" i="3"/>
  <c r="J10" i="3" s="1"/>
  <c r="E10" i="3" s="1" a="1"/>
  <c r="E10" i="3" s="1"/>
  <c r="I7" i="3"/>
  <c r="J7" i="3" s="1"/>
  <c r="E7" i="3" s="1" a="1"/>
  <c r="E7" i="3" s="1"/>
  <c r="I11" i="3"/>
  <c r="J11" i="3" s="1"/>
  <c r="E11" i="3" s="1" a="1"/>
  <c r="E11" i="3" s="1"/>
  <c r="I6" i="3"/>
  <c r="J6" i="3" s="1"/>
  <c r="E6" i="3" s="1"/>
  <c r="F6" i="7"/>
  <c r="G6" i="7" s="1"/>
  <c r="D10" i="3"/>
  <c r="F9" i="3"/>
  <c r="H9" i="3" s="1"/>
  <c r="H11" i="3"/>
  <c r="H12" i="3"/>
  <c r="H15" i="3"/>
  <c r="G7" i="3"/>
  <c r="G8" i="3"/>
  <c r="H7" i="3"/>
  <c r="H6" i="3"/>
  <c r="G9" i="3"/>
  <c r="H8" i="5"/>
  <c r="I7" i="5"/>
  <c r="J7" i="5" s="1"/>
  <c r="E7" i="5" s="1" a="1"/>
  <c r="E7" i="5" s="1"/>
  <c r="H14" i="5"/>
  <c r="F6" i="5"/>
  <c r="G9" i="7"/>
  <c r="H10" i="7"/>
  <c r="I25" i="4"/>
  <c r="J25" i="4" s="1"/>
  <c r="E25" i="4" s="1" a="1"/>
  <c r="E25" i="4" s="1"/>
  <c r="D28" i="4"/>
  <c r="F28" i="4" s="1"/>
  <c r="H28" i="4" s="1"/>
  <c r="I27" i="4"/>
  <c r="J27" i="4" s="1"/>
  <c r="E27" i="4" s="1" a="1"/>
  <c r="E27" i="4" s="1"/>
  <c r="F27" i="4"/>
  <c r="H27" i="4" s="1"/>
  <c r="I22" i="4"/>
  <c r="J22" i="4" s="1"/>
  <c r="E22" i="4" s="1" a="1"/>
  <c r="E22" i="4" s="1"/>
  <c r="F6" i="4"/>
  <c r="H6" i="4" s="1"/>
  <c r="H33" i="4"/>
  <c r="H36" i="4"/>
  <c r="F14" i="4"/>
  <c r="H14" i="4" s="1"/>
  <c r="I14" i="4"/>
  <c r="J14" i="4" s="1"/>
  <c r="E14" i="4" s="1" a="1"/>
  <c r="E14" i="4" s="1"/>
  <c r="I20" i="4"/>
  <c r="J20" i="4" s="1"/>
  <c r="E20" i="4" s="1" a="1"/>
  <c r="E20" i="4" s="1"/>
  <c r="H6" i="1"/>
  <c r="I6" i="1" s="1"/>
  <c r="D6" i="1" s="1" a="1"/>
  <c r="D6" i="1" s="1"/>
  <c r="H15" i="6"/>
  <c r="I15" i="6" s="1"/>
  <c r="D15" i="6" s="1" a="1"/>
  <c r="D15" i="6" s="1"/>
  <c r="G6" i="6"/>
  <c r="H19" i="1"/>
  <c r="I19" i="1" s="1"/>
  <c r="D19" i="1" s="1" a="1"/>
  <c r="D19" i="1" s="1"/>
  <c r="F6" i="1"/>
  <c r="G6" i="1"/>
  <c r="H10" i="1"/>
  <c r="I10" i="1" s="1"/>
  <c r="D10" i="1" s="1" a="1"/>
  <c r="D10" i="1" s="1"/>
  <c r="H7" i="1"/>
  <c r="I7" i="1" s="1"/>
  <c r="D7" i="1" s="1" a="1"/>
  <c r="D7" i="1" s="1"/>
  <c r="C22" i="6"/>
  <c r="E22" i="6" s="1"/>
  <c r="G22" i="6" s="1"/>
  <c r="H7" i="6"/>
  <c r="I7" i="6" s="1"/>
  <c r="D7" i="6" s="1" a="1"/>
  <c r="D7" i="6" s="1"/>
  <c r="F11" i="6"/>
  <c r="F19" i="6"/>
  <c r="F16" i="6"/>
  <c r="F9" i="6"/>
  <c r="F15" i="6"/>
  <c r="F20" i="6"/>
  <c r="F8" i="6"/>
  <c r="F13" i="6"/>
  <c r="F12" i="6"/>
  <c r="F14" i="6"/>
  <c r="F7" i="6"/>
  <c r="F21" i="6"/>
  <c r="F15" i="1"/>
  <c r="F12" i="1"/>
  <c r="F14" i="1"/>
  <c r="F11" i="1"/>
  <c r="F7" i="1"/>
  <c r="F10" i="1"/>
  <c r="F17" i="1"/>
  <c r="F9" i="1"/>
  <c r="F13" i="1"/>
  <c r="F16" i="1"/>
  <c r="F8" i="1"/>
  <c r="F18" i="6"/>
  <c r="F10" i="6"/>
  <c r="F17" i="6"/>
  <c r="H23" i="1"/>
  <c r="C22" i="1"/>
  <c r="H6" i="7" l="1"/>
  <c r="G10" i="7"/>
  <c r="G7" i="7"/>
  <c r="G8" i="7"/>
  <c r="G25" i="4"/>
  <c r="G26" i="4"/>
  <c r="A2" i="4"/>
  <c r="D11" i="7"/>
  <c r="I11" i="7"/>
  <c r="J11" i="7" s="1"/>
  <c r="E11" i="7" s="1" a="1"/>
  <c r="E11" i="7" s="1"/>
  <c r="F10" i="3"/>
  <c r="G12" i="3" s="1"/>
  <c r="A2" i="3"/>
  <c r="G6" i="5"/>
  <c r="H6" i="5"/>
  <c r="G13" i="5"/>
  <c r="G11" i="5"/>
  <c r="G17" i="5"/>
  <c r="A2" i="5"/>
  <c r="B2" i="5" s="1"/>
  <c r="G8" i="5"/>
  <c r="G7" i="5"/>
  <c r="G15" i="5"/>
  <c r="G9" i="5"/>
  <c r="G14" i="5"/>
  <c r="G12" i="5"/>
  <c r="G10" i="5"/>
  <c r="G18" i="5"/>
  <c r="G16" i="5"/>
  <c r="G6" i="4"/>
  <c r="G7" i="4"/>
  <c r="G9" i="4"/>
  <c r="G12" i="4"/>
  <c r="G10" i="4"/>
  <c r="G11" i="4"/>
  <c r="G13" i="4"/>
  <c r="G8" i="4"/>
  <c r="G35" i="4"/>
  <c r="G33" i="4"/>
  <c r="G36" i="4"/>
  <c r="G34" i="4"/>
  <c r="G15" i="4"/>
  <c r="G19" i="4"/>
  <c r="G28" i="4"/>
  <c r="G30" i="4"/>
  <c r="G23" i="4"/>
  <c r="G31" i="4"/>
  <c r="G32" i="4"/>
  <c r="G24" i="4"/>
  <c r="G29" i="4"/>
  <c r="G22" i="4"/>
  <c r="G17" i="4"/>
  <c r="G18" i="4"/>
  <c r="G16" i="4"/>
  <c r="G20" i="4"/>
  <c r="G21" i="4"/>
  <c r="G27" i="4"/>
  <c r="G14" i="4"/>
  <c r="F30" i="6"/>
  <c r="F22" i="6"/>
  <c r="F28" i="6"/>
  <c r="F32" i="6"/>
  <c r="F25" i="6"/>
  <c r="F31" i="6"/>
  <c r="F24" i="6"/>
  <c r="F23" i="6"/>
  <c r="A2" i="6"/>
  <c r="F26" i="6"/>
  <c r="F27" i="6"/>
  <c r="F29" i="6"/>
  <c r="E22" i="1"/>
  <c r="G22" i="1" s="1"/>
  <c r="E23" i="1"/>
  <c r="G23" i="1" s="1"/>
  <c r="I23" i="1"/>
  <c r="D23" i="1" s="1" a="1"/>
  <c r="D23" i="1" s="1"/>
  <c r="H18" i="1"/>
  <c r="I18" i="1" s="1"/>
  <c r="D18" i="1" s="1" a="1"/>
  <c r="D18" i="1" s="1"/>
  <c r="G14" i="3" l="1"/>
  <c r="G11" i="3"/>
  <c r="G13" i="3"/>
  <c r="G15" i="3"/>
  <c r="H10" i="3"/>
  <c r="G10" i="3"/>
  <c r="F11" i="7"/>
  <c r="A2" i="7"/>
  <c r="B2" i="3"/>
  <c r="B2" i="6"/>
  <c r="B1" i="4"/>
  <c r="C18" i="1"/>
  <c r="A2" i="1" s="1"/>
  <c r="B2" i="7" l="1"/>
  <c r="H11" i="7"/>
  <c r="G11" i="7"/>
  <c r="G12" i="7"/>
  <c r="G13" i="7"/>
  <c r="B2" i="1"/>
  <c r="E18" i="1"/>
  <c r="G18" i="1" s="1"/>
  <c r="F18" i="1" l="1"/>
  <c r="F21" i="1"/>
  <c r="F19" i="1"/>
  <c r="F20" i="1"/>
  <c r="F24" i="1"/>
  <c r="F25" i="1"/>
  <c r="F23" i="1"/>
  <c r="F22" i="1"/>
  <c r="F26" i="1"/>
  <c r="F28" i="1"/>
  <c r="F27" i="1"/>
  <c r="F29" i="1"/>
</calcChain>
</file>

<file path=xl/sharedStrings.xml><?xml version="1.0" encoding="utf-8"?>
<sst xmlns="http://schemas.openxmlformats.org/spreadsheetml/2006/main" count="2211" uniqueCount="1071">
  <si>
    <t xml:space="preserve">         </t>
  </si>
  <si>
    <t xml:space="preserve">                    </t>
  </si>
  <si>
    <t>9</t>
  </si>
  <si>
    <t xml:space="preserve"> </t>
  </si>
  <si>
    <t xml:space="preserve">          </t>
  </si>
  <si>
    <t xml:space="preserve">                             </t>
  </si>
  <si>
    <r>
      <rPr>
        <b/>
        <sz val="10"/>
        <rFont val="Calibri"/>
        <family val="2"/>
      </rPr>
      <t>Campos</t>
    </r>
  </si>
  <si>
    <r>
      <rPr>
        <b/>
        <sz val="10"/>
        <rFont val="Calibri"/>
        <family val="2"/>
      </rPr>
      <t>Conteúdo</t>
    </r>
  </si>
  <si>
    <r>
      <rPr>
        <b/>
        <sz val="10"/>
        <rFont val="Calibri"/>
        <family val="2"/>
      </rPr>
      <t>Posição</t>
    </r>
  </si>
  <si>
    <r>
      <rPr>
        <b/>
        <sz val="10"/>
        <rFont val="Calibri"/>
        <family val="2"/>
      </rPr>
      <t>Tamanho do campo</t>
    </r>
  </si>
  <si>
    <r>
      <rPr>
        <b/>
        <sz val="10"/>
        <rFont val="Calibri"/>
        <family val="2"/>
      </rPr>
      <t>Formato</t>
    </r>
  </si>
  <si>
    <r>
      <rPr>
        <b/>
        <sz val="10"/>
        <rFont val="Calibri"/>
        <family val="2"/>
      </rPr>
      <t>De</t>
    </r>
  </si>
  <si>
    <r>
      <rPr>
        <b/>
        <sz val="10"/>
        <rFont val="Calibri"/>
        <family val="2"/>
      </rPr>
      <t>Até</t>
    </r>
  </si>
  <si>
    <r>
      <rPr>
        <sz val="10"/>
        <rFont val="Calibri"/>
        <family val="2"/>
      </rPr>
      <t>Código do Banco na Compensação</t>
    </r>
  </si>
  <si>
    <r>
      <rPr>
        <sz val="10"/>
        <rFont val="Calibri"/>
        <family val="2"/>
      </rPr>
      <t>“077”</t>
    </r>
  </si>
  <si>
    <r>
      <rPr>
        <sz val="10"/>
        <rFont val="Calibri"/>
        <family val="2"/>
      </rPr>
      <t>Num</t>
    </r>
  </si>
  <si>
    <r>
      <rPr>
        <sz val="10"/>
        <rFont val="Calibri"/>
        <family val="2"/>
      </rPr>
      <t>Lote de Serviço</t>
    </r>
  </si>
  <si>
    <r>
      <rPr>
        <sz val="10"/>
        <rFont val="Calibri"/>
        <family val="2"/>
      </rPr>
      <t>“0000”</t>
    </r>
  </si>
  <si>
    <r>
      <rPr>
        <sz val="10"/>
        <rFont val="Calibri"/>
        <family val="2"/>
      </rPr>
      <t>Tipo de Registro</t>
    </r>
  </si>
  <si>
    <r>
      <rPr>
        <sz val="10"/>
        <rFont val="Calibri"/>
        <family val="2"/>
      </rPr>
      <t>“0”</t>
    </r>
  </si>
  <si>
    <r>
      <rPr>
        <sz val="10"/>
        <rFont val="Calibri"/>
        <family val="2"/>
      </rPr>
      <t>Campo em branco</t>
    </r>
  </si>
  <si>
    <r>
      <rPr>
        <sz val="10"/>
        <rFont val="Calibri"/>
        <family val="2"/>
      </rPr>
      <t>Brancos</t>
    </r>
  </si>
  <si>
    <r>
      <rPr>
        <sz val="10"/>
        <rFont val="Calibri"/>
        <family val="2"/>
      </rPr>
      <t>Alfa</t>
    </r>
  </si>
  <si>
    <r>
      <rPr>
        <sz val="10"/>
        <rFont val="Calibri"/>
        <family val="2"/>
      </rPr>
      <t>Tipo de documento da empresa</t>
    </r>
  </si>
  <si>
    <r>
      <rPr>
        <sz val="10"/>
        <rFont val="Calibri"/>
        <family val="2"/>
      </rPr>
      <t>CNPJ = “2”</t>
    </r>
  </si>
  <si>
    <r>
      <rPr>
        <sz val="10"/>
        <rFont val="Calibri"/>
        <family val="2"/>
      </rPr>
      <t>CPF/CNPJ da empresa</t>
    </r>
  </si>
  <si>
    <r>
      <rPr>
        <sz val="10"/>
        <rFont val="Calibri"/>
        <family val="2"/>
      </rPr>
      <t>Código do Convênio no Banco da empresa</t>
    </r>
  </si>
  <si>
    <r>
      <rPr>
        <sz val="10"/>
        <rFont val="Calibri"/>
        <family val="2"/>
      </rPr>
      <t>Agência Mantenedora da Conta da empresa</t>
    </r>
  </si>
  <si>
    <r>
      <rPr>
        <sz val="10"/>
        <rFont val="Calibri"/>
        <family val="2"/>
      </rPr>
      <t>“00001”</t>
    </r>
  </si>
  <si>
    <r>
      <rPr>
        <sz val="10"/>
        <rFont val="Calibri"/>
        <family val="2"/>
      </rPr>
      <t>Dígito Verificador da Agência</t>
    </r>
  </si>
  <si>
    <r>
      <rPr>
        <sz val="10"/>
        <rFont val="Calibri"/>
        <family val="2"/>
      </rPr>
      <t>“9”</t>
    </r>
  </si>
  <si>
    <r>
      <rPr>
        <sz val="10"/>
        <rFont val="Calibri"/>
        <family val="2"/>
      </rPr>
      <t>Número da Conta Corrente da empresa</t>
    </r>
  </si>
  <si>
    <r>
      <rPr>
        <sz val="10"/>
        <rFont val="Calibri"/>
        <family val="2"/>
      </rPr>
      <t>Dígito Verificador da Conta</t>
    </r>
  </si>
  <si>
    <r>
      <rPr>
        <sz val="10"/>
        <rFont val="Calibri"/>
        <family val="2"/>
      </rPr>
      <t>Branco</t>
    </r>
  </si>
  <si>
    <r>
      <rPr>
        <sz val="10"/>
        <rFont val="Calibri"/>
        <family val="2"/>
      </rPr>
      <t>Nome da Empresa</t>
    </r>
  </si>
  <si>
    <r>
      <rPr>
        <sz val="10"/>
        <rFont val="Calibri"/>
        <family val="2"/>
      </rPr>
      <t>Nome do Banco</t>
    </r>
  </si>
  <si>
    <r>
      <rPr>
        <sz val="10"/>
        <rFont val="Calibri"/>
        <family val="2"/>
      </rPr>
      <t>“BANCO INTER”</t>
    </r>
  </si>
  <si>
    <r>
      <rPr>
        <sz val="10"/>
        <rFont val="Calibri"/>
        <family val="2"/>
      </rPr>
      <t>Código de Remessa</t>
    </r>
  </si>
  <si>
    <r>
      <rPr>
        <sz val="10"/>
        <rFont val="Calibri"/>
        <family val="2"/>
      </rPr>
      <t>“1”</t>
    </r>
  </si>
  <si>
    <r>
      <rPr>
        <sz val="10"/>
        <rFont val="Calibri"/>
        <family val="2"/>
      </rPr>
      <t>Data de Geração do Arquivo</t>
    </r>
  </si>
  <si>
    <r>
      <rPr>
        <sz val="10"/>
        <rFont val="Calibri"/>
        <family val="2"/>
      </rPr>
      <t>Formato = DDMMAAAA</t>
    </r>
  </si>
  <si>
    <r>
      <rPr>
        <sz val="10"/>
        <rFont val="Calibri"/>
        <family val="2"/>
      </rPr>
      <t>Hora de Geração do Arquivo</t>
    </r>
  </si>
  <si>
    <r>
      <rPr>
        <sz val="10"/>
        <rFont val="Calibri"/>
        <family val="2"/>
      </rPr>
      <t>Formato = HHMMSS</t>
    </r>
  </si>
  <si>
    <r>
      <rPr>
        <sz val="10"/>
        <rFont val="Calibri"/>
        <family val="2"/>
      </rPr>
      <t>Número Sequencial do Arquivo</t>
    </r>
  </si>
  <si>
    <r>
      <rPr>
        <sz val="10"/>
        <rFont val="Calibri"/>
        <family val="2"/>
      </rPr>
      <t>Número da Versão do Layout do Arquivo</t>
    </r>
  </si>
  <si>
    <r>
      <rPr>
        <sz val="10"/>
        <rFont val="Calibri"/>
        <family val="2"/>
      </rPr>
      <t>“107”</t>
    </r>
  </si>
  <si>
    <r>
      <rPr>
        <sz val="10"/>
        <rFont val="Calibri"/>
        <family val="2"/>
      </rPr>
      <t>Densidade de Gravação do Arquivo</t>
    </r>
  </si>
  <si>
    <r>
      <rPr>
        <sz val="10"/>
        <rFont val="Calibri"/>
        <family val="2"/>
      </rPr>
      <t>“01600”</t>
    </r>
  </si>
  <si>
    <r>
      <rPr>
        <sz val="10"/>
        <rFont val="Calibri"/>
        <family val="2"/>
      </rPr>
      <t>Para Uso Reservado do Banco</t>
    </r>
  </si>
  <si>
    <r>
      <rPr>
        <sz val="10"/>
        <rFont val="Calibri"/>
        <family val="2"/>
      </rPr>
      <t>Para Uso Reservado da Empresa</t>
    </r>
  </si>
  <si>
    <r>
      <rPr>
        <sz val="10"/>
        <rFont val="Calibri"/>
        <family val="2"/>
      </rPr>
      <t>Tipo da Operação</t>
    </r>
  </si>
  <si>
    <r>
      <rPr>
        <sz val="10"/>
        <rFont val="Calibri"/>
        <family val="2"/>
      </rPr>
      <t>“C”</t>
    </r>
  </si>
  <si>
    <r>
      <rPr>
        <sz val="10"/>
        <rFont val="Calibri"/>
        <family val="2"/>
      </rPr>
      <t>Tipo do Serviço</t>
    </r>
  </si>
  <si>
    <r>
      <rPr>
        <sz val="10"/>
        <rFont val="Calibri"/>
        <family val="2"/>
      </rPr>
      <t>Forma de Lançamento</t>
    </r>
  </si>
  <si>
    <r>
      <rPr>
        <sz val="10"/>
        <rFont val="Calibri"/>
        <family val="2"/>
      </rPr>
      <t>Nº da Versão do Layout do Lote</t>
    </r>
  </si>
  <si>
    <r>
      <rPr>
        <sz val="10"/>
        <rFont val="Calibri"/>
        <family val="2"/>
      </rPr>
      <t>“046”</t>
    </r>
  </si>
  <si>
    <r>
      <rPr>
        <sz val="10"/>
        <rFont val="Calibri"/>
        <family val="2"/>
      </rPr>
      <t>Exemplo: “00001”</t>
    </r>
  </si>
  <si>
    <r>
      <rPr>
        <sz val="10"/>
        <rFont val="Calibri"/>
        <family val="2"/>
      </rPr>
      <t>Exemplo: “9”</t>
    </r>
  </si>
  <si>
    <r>
      <rPr>
        <sz val="10"/>
        <rFont val="Calibri"/>
        <family val="2"/>
      </rPr>
      <t>Informação 1 - Mensagem</t>
    </r>
  </si>
  <si>
    <r>
      <rPr>
        <sz val="10"/>
        <rFont val="Calibri"/>
        <family val="2"/>
      </rPr>
      <t>Nome da Rua, Av, Pça, Etc.. da empresa</t>
    </r>
  </si>
  <si>
    <r>
      <rPr>
        <sz val="10"/>
        <rFont val="Calibri"/>
        <family val="2"/>
      </rPr>
      <t>Número do Local da empresa</t>
    </r>
  </si>
  <si>
    <r>
      <rPr>
        <sz val="10"/>
        <rFont val="Calibri"/>
        <family val="2"/>
      </rPr>
      <t>Casa, Apto, Sala, Etc.. da empresa</t>
    </r>
  </si>
  <si>
    <r>
      <rPr>
        <sz val="10"/>
        <rFont val="Calibri"/>
        <family val="2"/>
      </rPr>
      <t>Nome da Cidade da empresa</t>
    </r>
  </si>
  <si>
    <r>
      <rPr>
        <sz val="10"/>
        <rFont val="Calibri"/>
        <family val="2"/>
      </rPr>
      <t>CEP da empresa</t>
    </r>
  </si>
  <si>
    <r>
      <rPr>
        <sz val="10"/>
        <rFont val="Calibri"/>
        <family val="2"/>
      </rPr>
      <t>Complemento do CEP</t>
    </r>
  </si>
  <si>
    <r>
      <rPr>
        <sz val="10"/>
        <rFont val="Calibri"/>
        <family val="2"/>
      </rPr>
      <t>Sigla do Estado da empresa</t>
    </r>
  </si>
  <si>
    <r>
      <rPr>
        <sz val="10"/>
        <rFont val="Calibri"/>
        <family val="2"/>
      </rPr>
      <t xml:space="preserve">Códigos das Ocorrências (Campo
</t>
    </r>
    <r>
      <rPr>
        <sz val="10"/>
        <rFont val="Calibri"/>
        <family val="2"/>
      </rPr>
      <t>exclusivo para retorno)</t>
    </r>
  </si>
  <si>
    <r>
      <rPr>
        <b/>
        <sz val="8"/>
        <rFont val="Calibri"/>
        <family val="2"/>
      </rPr>
      <t>Campos</t>
    </r>
  </si>
  <si>
    <r>
      <rPr>
        <b/>
        <sz val="8"/>
        <rFont val="Calibri"/>
        <family val="2"/>
      </rPr>
      <t>Conteúdo predefinido</t>
    </r>
  </si>
  <si>
    <r>
      <rPr>
        <b/>
        <sz val="8"/>
        <rFont val="Calibri"/>
        <family val="2"/>
      </rPr>
      <t>Posição</t>
    </r>
  </si>
  <si>
    <r>
      <rPr>
        <b/>
        <sz val="8"/>
        <rFont val="Calibri"/>
        <family val="2"/>
      </rPr>
      <t>Tamanho do campo</t>
    </r>
  </si>
  <si>
    <r>
      <rPr>
        <b/>
        <sz val="8"/>
        <rFont val="Calibri"/>
        <family val="2"/>
      </rPr>
      <t>Formato</t>
    </r>
  </si>
  <si>
    <r>
      <rPr>
        <b/>
        <sz val="8"/>
        <rFont val="Calibri"/>
        <family val="2"/>
      </rPr>
      <t>De</t>
    </r>
  </si>
  <si>
    <r>
      <rPr>
        <b/>
        <sz val="8"/>
        <rFont val="Calibri"/>
        <family val="2"/>
      </rPr>
      <t>Até</t>
    </r>
  </si>
  <si>
    <r>
      <rPr>
        <sz val="8"/>
        <rFont val="Calibri"/>
        <family val="2"/>
      </rPr>
      <t>Código do Banco na Compensação</t>
    </r>
  </si>
  <si>
    <r>
      <rPr>
        <sz val="8"/>
        <rFont val="Calibri"/>
        <family val="2"/>
      </rPr>
      <t>“077”</t>
    </r>
  </si>
  <si>
    <r>
      <rPr>
        <sz val="8"/>
        <rFont val="Calibri"/>
        <family val="2"/>
      </rPr>
      <t>Num</t>
    </r>
  </si>
  <si>
    <r>
      <rPr>
        <sz val="8"/>
        <rFont val="Calibri"/>
        <family val="2"/>
      </rPr>
      <t>Lote de Serviço ( Numero do lote )</t>
    </r>
  </si>
  <si>
    <r>
      <rPr>
        <sz val="8"/>
        <rFont val="Calibri"/>
        <family val="2"/>
      </rPr>
      <t>000N, sendo N começando em 1</t>
    </r>
  </si>
  <si>
    <r>
      <rPr>
        <sz val="8"/>
        <rFont val="Calibri"/>
        <family val="2"/>
      </rPr>
      <t>Tipo de Registro</t>
    </r>
  </si>
  <si>
    <r>
      <rPr>
        <sz val="8"/>
        <rFont val="Calibri"/>
        <family val="2"/>
      </rPr>
      <t>“3”</t>
    </r>
  </si>
  <si>
    <r>
      <rPr>
        <sz val="8"/>
        <rFont val="Calibri"/>
        <family val="2"/>
      </rPr>
      <t>Número Sequencial do Registro detalhe</t>
    </r>
  </si>
  <si>
    <r>
      <rPr>
        <sz val="8"/>
        <rFont val="Calibri"/>
        <family val="2"/>
      </rPr>
      <t>0000N, sendo N começando em 1</t>
    </r>
  </si>
  <si>
    <r>
      <rPr>
        <sz val="8"/>
        <rFont val="Calibri"/>
        <family val="2"/>
      </rPr>
      <t>Código de Segmento do Registro detalhe</t>
    </r>
  </si>
  <si>
    <r>
      <rPr>
        <sz val="8"/>
        <rFont val="Calibri"/>
        <family val="2"/>
      </rPr>
      <t>“A”</t>
    </r>
  </si>
  <si>
    <r>
      <rPr>
        <sz val="8"/>
        <rFont val="Calibri"/>
        <family val="2"/>
      </rPr>
      <t>Alfa</t>
    </r>
  </si>
  <si>
    <r>
      <rPr>
        <sz val="8"/>
        <rFont val="Calibri"/>
        <family val="2"/>
      </rPr>
      <t>Tipo de Movimento</t>
    </r>
  </si>
  <si>
    <r>
      <rPr>
        <sz val="8"/>
        <rFont val="Calibri"/>
        <family val="2"/>
      </rPr>
      <t>“0”</t>
    </r>
  </si>
  <si>
    <r>
      <rPr>
        <sz val="8"/>
        <rFont val="Calibri"/>
        <family val="2"/>
      </rPr>
      <t>Código da Instrução para Movimento</t>
    </r>
  </si>
  <si>
    <r>
      <rPr>
        <sz val="8"/>
        <rFont val="Calibri"/>
        <family val="2"/>
      </rPr>
      <t>“00”</t>
    </r>
  </si>
  <si>
    <r>
      <rPr>
        <sz val="8"/>
        <rFont val="Calibri"/>
        <family val="2"/>
      </rPr>
      <t>Código da Câmara Centralizadora</t>
    </r>
  </si>
  <si>
    <r>
      <rPr>
        <sz val="8"/>
        <rFont val="Calibri"/>
        <family val="2"/>
      </rPr>
      <t>“000”</t>
    </r>
  </si>
  <si>
    <r>
      <rPr>
        <sz val="8"/>
        <rFont val="Calibri"/>
        <family val="2"/>
      </rPr>
      <t>[Favorecido] Código do Banco</t>
    </r>
  </si>
  <si>
    <r>
      <rPr>
        <sz val="8"/>
        <rFont val="Calibri"/>
        <family val="2"/>
      </rPr>
      <t>[Favorecido] Agencia Mantenedora da Conta</t>
    </r>
  </si>
  <si>
    <r>
      <rPr>
        <sz val="8"/>
        <rFont val="Calibri"/>
        <family val="2"/>
      </rPr>
      <t>[Favorecido] Dígito Verificador da Agencia</t>
    </r>
  </si>
  <si>
    <r>
      <rPr>
        <sz val="8"/>
        <rFont val="Calibri"/>
        <family val="2"/>
      </rPr>
      <t>[Favorecido] Numero da Conta Corrente</t>
    </r>
  </si>
  <si>
    <r>
      <rPr>
        <sz val="8"/>
        <rFont val="Calibri"/>
        <family val="2"/>
      </rPr>
      <t>[Favorecido] Dígito Veriﬁcador da Conta</t>
    </r>
  </si>
  <si>
    <r>
      <rPr>
        <sz val="8"/>
        <rFont val="Calibri"/>
        <family val="2"/>
      </rPr>
      <t>[Favorecido] Dígito Veriﬁcador da AG/Conta</t>
    </r>
  </si>
  <si>
    <r>
      <rPr>
        <sz val="8"/>
        <rFont val="Calibri"/>
        <family val="2"/>
      </rPr>
      <t>[Favorecido] Nome</t>
    </r>
  </si>
  <si>
    <r>
      <rPr>
        <sz val="8"/>
        <rFont val="Calibri"/>
        <family val="2"/>
      </rPr>
      <t>Numero do Docum. Atribuído p/ Empresa</t>
    </r>
  </si>
  <si>
    <r>
      <rPr>
        <sz val="8"/>
        <rFont val="Calibri"/>
        <family val="2"/>
      </rPr>
      <t>Pode ser vazio</t>
    </r>
  </si>
  <si>
    <r>
      <rPr>
        <sz val="8"/>
        <rFont val="Calibri"/>
        <family val="2"/>
      </rPr>
      <t>Data do Pagamento</t>
    </r>
  </si>
  <si>
    <r>
      <rPr>
        <sz val="8"/>
        <rFont val="Calibri"/>
        <family val="2"/>
      </rPr>
      <t>Formato = DDMMAAAA</t>
    </r>
  </si>
  <si>
    <r>
      <rPr>
        <sz val="8"/>
        <rFont val="Calibri"/>
        <family val="2"/>
      </rPr>
      <t>Tipo da Moeda</t>
    </r>
  </si>
  <si>
    <r>
      <rPr>
        <sz val="8"/>
        <rFont val="Calibri"/>
        <family val="2"/>
      </rPr>
      <t>“BRL”</t>
    </r>
  </si>
  <si>
    <r>
      <rPr>
        <sz val="8"/>
        <rFont val="Calibri"/>
        <family val="2"/>
      </rPr>
      <t>Quantidade da Moeda</t>
    </r>
  </si>
  <si>
    <r>
      <rPr>
        <sz val="8"/>
        <rFont val="Calibri"/>
        <family val="2"/>
      </rPr>
      <t>Valor do Pagamento</t>
    </r>
  </si>
  <si>
    <r>
      <rPr>
        <sz val="8"/>
        <rFont val="Calibri"/>
        <family val="2"/>
      </rPr>
      <t>Duas casas decimais</t>
    </r>
  </si>
  <si>
    <r>
      <rPr>
        <sz val="8"/>
        <rFont val="Calibri"/>
        <family val="2"/>
      </rPr>
      <t>No do Docum. Atribuído pelo Banco</t>
    </r>
  </si>
  <si>
    <r>
      <rPr>
        <sz val="8"/>
        <rFont val="Calibri"/>
        <family val="2"/>
      </rPr>
      <t>Data Real da Efetivação Pagto</t>
    </r>
  </si>
  <si>
    <r>
      <rPr>
        <sz val="8"/>
        <rFont val="Calibri"/>
        <family val="2"/>
      </rPr>
      <t>Valor Real da Efetivação do Pagto</t>
    </r>
  </si>
  <si>
    <r>
      <rPr>
        <sz val="8"/>
        <rFont val="Calibri"/>
        <family val="2"/>
      </rPr>
      <t>Outras Informações</t>
    </r>
  </si>
  <si>
    <r>
      <rPr>
        <sz val="8"/>
        <rFont val="Calibri"/>
        <family val="2"/>
      </rPr>
      <t>Deposito Judicial , Pgto. Salários de servidores pelo SIAPE, ou PIX.</t>
    </r>
  </si>
  <si>
    <r>
      <rPr>
        <sz val="8"/>
        <rFont val="Calibri"/>
        <family val="2"/>
      </rPr>
      <t>Compl. Tipo Serviço</t>
    </r>
  </si>
  <si>
    <r>
      <rPr>
        <sz val="8"/>
        <rFont val="Calibri"/>
        <family val="2"/>
      </rPr>
      <t>“01”</t>
    </r>
  </si>
  <si>
    <r>
      <rPr>
        <sz val="8"/>
        <rFont val="Calibri"/>
        <family val="2"/>
      </rPr>
      <t>Código finalidade da TED</t>
    </r>
  </si>
  <si>
    <r>
      <rPr>
        <sz val="8"/>
        <rFont val="Calibri"/>
        <family val="2"/>
      </rPr>
      <t>Complemento de finalidade pagamento.</t>
    </r>
  </si>
  <si>
    <r>
      <rPr>
        <sz val="8"/>
        <rFont val="Calibri"/>
        <family val="2"/>
      </rPr>
      <t>Uso Exclusivo FEBRABAN/CNAB</t>
    </r>
  </si>
  <si>
    <r>
      <rPr>
        <sz val="8"/>
        <rFont val="Calibri"/>
        <family val="2"/>
      </rPr>
      <t>Brancos</t>
    </r>
  </si>
  <si>
    <r>
      <rPr>
        <sz val="8"/>
        <rFont val="Calibri"/>
        <family val="2"/>
      </rPr>
      <t>Aviso ao Favorecido</t>
    </r>
  </si>
  <si>
    <r>
      <rPr>
        <sz val="8"/>
        <rFont val="Calibri"/>
        <family val="2"/>
      </rPr>
      <t>Códigos das Ocorrências p/ Retorno</t>
    </r>
  </si>
  <si>
    <r>
      <rPr>
        <b/>
        <sz val="10"/>
        <rFont val="Calibri"/>
        <family val="2"/>
      </rPr>
      <t>Conteúdo predefinido</t>
    </r>
  </si>
  <si>
    <r>
      <rPr>
        <sz val="10"/>
        <rFont val="Calibri"/>
        <family val="2"/>
      </rPr>
      <t>Lote de Serviço ( Número do lote )</t>
    </r>
  </si>
  <si>
    <r>
      <rPr>
        <sz val="10"/>
        <rFont val="Calibri"/>
        <family val="2"/>
      </rPr>
      <t>000N, sendo N começando em 1</t>
    </r>
  </si>
  <si>
    <r>
      <rPr>
        <sz val="10"/>
        <rFont val="Calibri"/>
        <family val="2"/>
      </rPr>
      <t>Tipo do Registro</t>
    </r>
  </si>
  <si>
    <r>
      <rPr>
        <sz val="10"/>
        <rFont val="Calibri"/>
        <family val="2"/>
      </rPr>
      <t>“3”</t>
    </r>
  </si>
  <si>
    <r>
      <rPr>
        <sz val="10"/>
        <rFont val="Calibri"/>
        <family val="2"/>
      </rPr>
      <t>Número Sequencial do registro detalhe</t>
    </r>
  </si>
  <si>
    <r>
      <rPr>
        <sz val="10"/>
        <rFont val="Calibri"/>
        <family val="2"/>
      </rPr>
      <t>0000N, sendo N começando em 1</t>
    </r>
  </si>
  <si>
    <r>
      <rPr>
        <sz val="10"/>
        <rFont val="Calibri"/>
        <family val="2"/>
      </rPr>
      <t>Código de Segmento do registro detalhe</t>
    </r>
  </si>
  <si>
    <r>
      <rPr>
        <sz val="10"/>
        <rFont val="Calibri"/>
        <family val="2"/>
      </rPr>
      <t>“B”</t>
    </r>
  </si>
  <si>
    <r>
      <rPr>
        <sz val="10"/>
        <rFont val="Calibri"/>
        <family val="2"/>
      </rPr>
      <t>Forma de Iniciação</t>
    </r>
  </si>
  <si>
    <r>
      <rPr>
        <sz val="10"/>
        <rFont val="Calibri"/>
        <family val="2"/>
      </rPr>
      <t>Vide formatação página 32.</t>
    </r>
  </si>
  <si>
    <r>
      <rPr>
        <sz val="10"/>
        <rFont val="Calibri"/>
        <family val="2"/>
      </rPr>
      <t>[Favorecido ]Tipo de documento</t>
    </r>
  </si>
  <si>
    <r>
      <rPr>
        <sz val="10"/>
        <rFont val="Calibri"/>
        <family val="2"/>
      </rPr>
      <t>CPF = “1”, CNPJ = “2”</t>
    </r>
  </si>
  <si>
    <r>
      <rPr>
        <sz val="10"/>
        <rFont val="Calibri"/>
        <family val="2"/>
      </rPr>
      <t>[Favorecido] CPF/CNPJ</t>
    </r>
  </si>
  <si>
    <r>
      <rPr>
        <sz val="10"/>
        <rFont val="Calibri"/>
        <family val="2"/>
      </rPr>
      <t>Informação 10</t>
    </r>
  </si>
  <si>
    <r>
      <rPr>
        <sz val="10"/>
        <rFont val="Calibri"/>
        <family val="2"/>
      </rPr>
      <t>Se caso Pix, vide formatação página 34.</t>
    </r>
  </si>
  <si>
    <r>
      <rPr>
        <sz val="10"/>
        <rFont val="Calibri"/>
        <family val="2"/>
      </rPr>
      <t>Informação 11</t>
    </r>
  </si>
  <si>
    <r>
      <rPr>
        <sz val="10"/>
        <rFont val="Calibri"/>
        <family val="2"/>
      </rPr>
      <t>Informação 12</t>
    </r>
  </si>
  <si>
    <r>
      <rPr>
        <sz val="10"/>
        <rFont val="Calibri"/>
        <family val="2"/>
      </rPr>
      <t>Uso Exclusivo para o SIAPE</t>
    </r>
  </si>
  <si>
    <r>
      <rPr>
        <sz val="10"/>
        <rFont val="Calibri"/>
        <family val="2"/>
      </rPr>
      <t>[Favorecido] Código ISPB</t>
    </r>
  </si>
  <si>
    <r>
      <rPr>
        <sz val="10"/>
        <rFont val="Calibri"/>
        <family val="2"/>
      </rPr>
      <t>“5”</t>
    </r>
  </si>
  <si>
    <r>
      <rPr>
        <sz val="10"/>
        <rFont val="Calibri"/>
        <family val="2"/>
      </rPr>
      <t>Campo em Branco</t>
    </r>
  </si>
  <si>
    <r>
      <rPr>
        <sz val="10"/>
        <rFont val="Calibri"/>
        <family val="2"/>
      </rPr>
      <t>Quantidade de Registros do Lote (Quantidade de detalhes)</t>
    </r>
  </si>
  <si>
    <r>
      <rPr>
        <sz val="10"/>
        <rFont val="Calibri"/>
        <family val="2"/>
      </rPr>
      <t>Somatória dos Valores</t>
    </r>
  </si>
  <si>
    <r>
      <rPr>
        <sz val="10"/>
        <rFont val="Calibri"/>
        <family val="2"/>
      </rPr>
      <t>Somatória de Quantidade de Moedas</t>
    </r>
  </si>
  <si>
    <r>
      <rPr>
        <sz val="10"/>
        <rFont val="Calibri"/>
        <family val="2"/>
      </rPr>
      <t>Preencher com “0”</t>
    </r>
  </si>
  <si>
    <r>
      <rPr>
        <sz val="10"/>
        <rFont val="Calibri"/>
        <family val="2"/>
      </rPr>
      <t>Número Aviso de Débito</t>
    </r>
  </si>
  <si>
    <r>
      <rPr>
        <sz val="10"/>
        <rFont val="Calibri"/>
        <family val="2"/>
      </rPr>
      <t>Códigos das Ocorrências para Retorno (Campo exclusivo para retorno)</t>
    </r>
  </si>
  <si>
    <r>
      <rPr>
        <sz val="10"/>
        <rFont val="Calibri"/>
        <family val="2"/>
      </rPr>
      <t>“9999”</t>
    </r>
  </si>
  <si>
    <r>
      <rPr>
        <sz val="10"/>
        <rFont val="Calibri"/>
        <family val="2"/>
      </rPr>
      <t>Quantidade de Lotes do Arquivo</t>
    </r>
  </si>
  <si>
    <r>
      <rPr>
        <sz val="10"/>
        <rFont val="Calibri"/>
        <family val="2"/>
      </rPr>
      <t>Quantidade de Registros do Arquivo</t>
    </r>
  </si>
  <si>
    <r>
      <rPr>
        <sz val="10"/>
        <rFont val="Calibri"/>
        <family val="2"/>
      </rPr>
      <t>Quantidade de Contas para Conciliação (Quantidade de lotes)</t>
    </r>
  </si>
  <si>
    <t>Pode ser vazio. Caso não seja, vide página 33.</t>
  </si>
  <si>
    <t>Sequencial do lote no arquivo, iniciando em 0001</t>
  </si>
  <si>
    <t xml:space="preserve">HEADER DE ARQUIVO </t>
  </si>
  <si>
    <t>077</t>
  </si>
  <si>
    <t>C</t>
  </si>
  <si>
    <t>Código para identificar o tipo de serviço. Vide nota na  página 31.</t>
  </si>
  <si>
    <t>Tipo do Serviço</t>
  </si>
  <si>
    <t>Posição ok?</t>
  </si>
  <si>
    <t>Sequencial do lote no arquivo, definido no respectivo header</t>
  </si>
  <si>
    <t>Duas casas decimais</t>
  </si>
  <si>
    <t>Código do Convênio no Banco da empresa</t>
  </si>
  <si>
    <t>Agência Mantenedora da Conta da empresa</t>
  </si>
  <si>
    <t>“9”</t>
  </si>
  <si>
    <t>Dígito Verificador da Agência</t>
  </si>
  <si>
    <t>Validação de Campo</t>
  </si>
  <si>
    <t xml:space="preserve">        </t>
  </si>
  <si>
    <t>Header de Lote</t>
  </si>
  <si>
    <t>Código para identificar a forma de lançamento. Vide nota na
página 32.</t>
  </si>
  <si>
    <t xml:space="preserve">               </t>
  </si>
  <si>
    <t xml:space="preserve">Ribeirao Preto      </t>
  </si>
  <si>
    <t>SP</t>
  </si>
  <si>
    <t>Tipo de Registro</t>
  </si>
  <si>
    <t>Número Sequencial do Registro detalhe</t>
  </si>
  <si>
    <t>A</t>
  </si>
  <si>
    <t>Código do Banco</t>
  </si>
  <si>
    <t xml:space="preserve"> Nome</t>
  </si>
  <si>
    <t xml:space="preserve"> CPF/CNPJ</t>
  </si>
  <si>
    <t>Tipo de documento</t>
  </si>
  <si>
    <t>Detalhe Segmento B</t>
  </si>
  <si>
    <t>Detalhe Segmento A</t>
  </si>
  <si>
    <t xml:space="preserve">                         </t>
  </si>
  <si>
    <t>BRL</t>
  </si>
  <si>
    <t>1</t>
  </si>
  <si>
    <t xml:space="preserve">   </t>
  </si>
  <si>
    <t>Pode ser zerado, se, o número tem cinco casas decimais</t>
  </si>
  <si>
    <t xml:space="preserve">BANCO INTER                   </t>
  </si>
  <si>
    <t>B</t>
  </si>
  <si>
    <t>Forma de Iniciação</t>
  </si>
  <si>
    <t xml:space="preserve">                                                                  </t>
  </si>
  <si>
    <t>CCCCCCCCCCCCCCIIIIIIIIRR</t>
  </si>
  <si>
    <t>0</t>
  </si>
  <si>
    <t xml:space="preserve">                                                        </t>
  </si>
  <si>
    <t xml:space="preserve">                                                                                                                                                     </t>
  </si>
  <si>
    <t xml:space="preserve">                                   </t>
  </si>
  <si>
    <t xml:space="preserve">Trailer Arquivo </t>
  </si>
  <si>
    <t xml:space="preserve">Trailer Lote </t>
  </si>
  <si>
    <t xml:space="preserve">                                                                                                                                                                                                                     </t>
  </si>
  <si>
    <t>Chave PIX</t>
  </si>
  <si>
    <t>Conta</t>
  </si>
  <si>
    <t>Cod Agencia</t>
  </si>
  <si>
    <t>NUMERO DO LOTE</t>
  </si>
  <si>
    <t>Cod Iniciação</t>
  </si>
  <si>
    <t>Numero do Registro no Lote</t>
  </si>
  <si>
    <t>Numero de Registros</t>
  </si>
  <si>
    <t>PIX ou TED</t>
  </si>
  <si>
    <t>Forma de Lançamento</t>
  </si>
  <si>
    <t>DV Agencia</t>
  </si>
  <si>
    <t>DV Conta</t>
  </si>
  <si>
    <t>Banco Cetelem S.A.</t>
  </si>
  <si>
    <t>CENTRAL DE COOPERATIVAS DE ECONOMIA E CRÉDITO MÚTUO DO ESTADO DO RIO GRANDE DO S</t>
  </si>
  <si>
    <t>PORTOCRED S.A. – CREDITO, FINANCIAMENTO E INVESTIMENTO</t>
  </si>
  <si>
    <t>PI Distribuidora de Títulos e Valores Mobiliários S.A.</t>
  </si>
  <si>
    <t>Central Cooperativa de Crédito no Estado do Espírito Santo – CECOOP</t>
  </si>
  <si>
    <t>COOPERATIVA DE CRÉDITO RURAL DE OURO   SULCREDI/OURO</t>
  </si>
  <si>
    <t>BRK S.A. Crédito, Financiamento e Investimento</t>
  </si>
  <si>
    <t>AMAZÔNIA CORRETORA DE CÂMBIO LTDA.</t>
  </si>
  <si>
    <t>Commerzbank Brasil S.A. – Banco Múltiplo</t>
  </si>
  <si>
    <t>ING Bank N.V.</t>
  </si>
  <si>
    <t>NECTON INVESTIMENTOS  S.A. CORRETORA DE VALORES MOBILIÁRIOS E COMMODITIES</t>
  </si>
  <si>
    <t>Itaú Unibanco Holding S.A.</t>
  </si>
  <si>
    <t>BANCO OLÉ CONSIGNADO S.A.</t>
  </si>
  <si>
    <r>
      <rPr>
        <b/>
        <sz val="9"/>
        <color rgb="FFFFFFFF"/>
        <rFont val="Arial"/>
        <family val="2"/>
      </rPr>
      <t>ISPB</t>
    </r>
  </si>
  <si>
    <r>
      <rPr>
        <b/>
        <sz val="9"/>
        <color rgb="FFFFFFFF"/>
        <rFont val="Arial"/>
        <family val="2"/>
      </rPr>
      <t>Nome Reduzido</t>
    </r>
  </si>
  <si>
    <r>
      <rPr>
        <b/>
        <sz val="9"/>
        <color rgb="FFFFFFFF"/>
        <rFont val="Arial"/>
        <family val="2"/>
      </rPr>
      <t>Número- Código</t>
    </r>
  </si>
  <si>
    <r>
      <rPr>
        <b/>
        <sz val="9"/>
        <color rgb="FFFFFFFF"/>
        <rFont val="Arial"/>
        <family val="2"/>
      </rPr>
      <t>Participa da Compe</t>
    </r>
  </si>
  <si>
    <r>
      <rPr>
        <b/>
        <sz val="9"/>
        <color rgb="FFFFFFFF"/>
        <rFont val="Arial"/>
        <family val="2"/>
      </rPr>
      <t>Acesso principal</t>
    </r>
  </si>
  <si>
    <r>
      <rPr>
        <b/>
        <sz val="9"/>
        <color rgb="FFFFFFFF"/>
        <rFont val="Arial"/>
        <family val="2"/>
      </rPr>
      <t>Nome Extenso</t>
    </r>
  </si>
  <si>
    <r>
      <rPr>
        <sz val="9"/>
        <rFont val="Arial MT"/>
        <family val="2"/>
      </rPr>
      <t>BCO DO BRASIL S.A.</t>
    </r>
  </si>
  <si>
    <r>
      <rPr>
        <sz val="9"/>
        <rFont val="Arial MT"/>
        <family val="2"/>
      </rPr>
      <t>Sim</t>
    </r>
  </si>
  <si>
    <r>
      <rPr>
        <sz val="9"/>
        <rFont val="Arial MT"/>
        <family val="2"/>
      </rPr>
      <t>RSFN</t>
    </r>
  </si>
  <si>
    <r>
      <rPr>
        <sz val="9"/>
        <rFont val="Arial MT"/>
        <family val="2"/>
      </rPr>
      <t>Banco do Brasil S.A.</t>
    </r>
  </si>
  <si>
    <r>
      <rPr>
        <sz val="9"/>
        <rFont val="Arial MT"/>
        <family val="2"/>
      </rPr>
      <t>BRB - BCO DE BRASILIA S.A.</t>
    </r>
  </si>
  <si>
    <r>
      <rPr>
        <sz val="9"/>
        <rFont val="Arial MT"/>
        <family val="2"/>
      </rPr>
      <t>BRB - BANCO DE BRASILIA S.A.</t>
    </r>
  </si>
  <si>
    <r>
      <rPr>
        <sz val="9"/>
        <rFont val="Arial MT"/>
        <family val="2"/>
      </rPr>
      <t>Selic</t>
    </r>
  </si>
  <si>
    <r>
      <rPr>
        <sz val="9"/>
        <rFont val="Arial MT"/>
        <family val="2"/>
      </rPr>
      <t>n/a</t>
    </r>
  </si>
  <si>
    <r>
      <rPr>
        <sz val="9"/>
        <rFont val="Arial MT"/>
        <family val="2"/>
      </rPr>
      <t>Não</t>
    </r>
  </si>
  <si>
    <r>
      <rPr>
        <sz val="9"/>
        <rFont val="Arial MT"/>
        <family val="2"/>
      </rPr>
      <t>Banco Central do Brasil - Selic</t>
    </r>
  </si>
  <si>
    <r>
      <rPr>
        <sz val="9"/>
        <rFont val="Arial MT"/>
        <family val="2"/>
      </rPr>
      <t>Bacen</t>
    </r>
  </si>
  <si>
    <r>
      <rPr>
        <sz val="9"/>
        <rFont val="Arial MT"/>
        <family val="2"/>
      </rPr>
      <t>Banco Central do Brasil</t>
    </r>
  </si>
  <si>
    <r>
      <rPr>
        <sz val="9"/>
        <rFont val="Arial MT"/>
        <family val="2"/>
      </rPr>
      <t>SANTINVEST S.A. - CFI</t>
    </r>
  </si>
  <si>
    <r>
      <rPr>
        <sz val="9"/>
        <rFont val="Arial MT"/>
        <family val="2"/>
      </rPr>
      <t>SANTINVEST S.A. - CREDITO, FINANCIAME</t>
    </r>
  </si>
  <si>
    <r>
      <rPr>
        <sz val="9"/>
        <rFont val="Arial MT"/>
        <family val="2"/>
      </rPr>
      <t>CCR SEARA</t>
    </r>
  </si>
  <si>
    <r>
      <rPr>
        <sz val="9"/>
        <rFont val="Arial MT"/>
        <family val="2"/>
      </rPr>
      <t>COOPERATIVA DE CREDITO RURAL SEARA - CREDISEARA</t>
    </r>
  </si>
  <si>
    <r>
      <rPr>
        <sz val="9"/>
        <rFont val="Arial MT"/>
        <family val="2"/>
      </rPr>
      <t>AGK CC S.A.</t>
    </r>
  </si>
  <si>
    <r>
      <rPr>
        <sz val="9"/>
        <rFont val="Arial MT"/>
        <family val="2"/>
      </rPr>
      <t>AGK CORRETORA DE CAMBIO S.A.</t>
    </r>
  </si>
  <si>
    <r>
      <rPr>
        <sz val="9"/>
        <rFont val="Arial MT"/>
        <family val="2"/>
      </rPr>
      <t>CONF NAC COOP CENTRAIS UNICRED</t>
    </r>
  </si>
  <si>
    <r>
      <rPr>
        <sz val="9"/>
        <rFont val="Arial MT"/>
        <family val="2"/>
      </rPr>
      <t>CONFEDERAÇÃO NACIONAL DAS COOPERATIVAS CENTRAIS UNICRED LTDA. - UNICRED DO BRASIL.</t>
    </r>
  </si>
  <si>
    <r>
      <rPr>
        <sz val="9"/>
        <rFont val="Arial MT"/>
        <family val="2"/>
      </rPr>
      <t>ÍNDIGO INVESTIMENTOS DTVM LTDA.</t>
    </r>
  </si>
  <si>
    <r>
      <rPr>
        <sz val="9"/>
        <rFont val="Arial MT"/>
        <family val="2"/>
      </rPr>
      <t>ÍNDIGO INVESTIMENTOS DISTRIBUIDORA DE TÍTULOS E VALORES MOBILIÁRIOS LTDA.</t>
    </r>
  </si>
  <si>
    <r>
      <rPr>
        <sz val="9"/>
        <rFont val="Arial MT"/>
        <family val="2"/>
      </rPr>
      <t>CAIXA ECONOMICA FEDERAL</t>
    </r>
  </si>
  <si>
    <r>
      <rPr>
        <sz val="9"/>
        <rFont val="Arial MT"/>
        <family val="2"/>
      </rPr>
      <t>STN</t>
    </r>
  </si>
  <si>
    <r>
      <rPr>
        <sz val="9"/>
        <rFont val="Arial MT"/>
        <family val="2"/>
      </rPr>
      <t>Secretaria do Tesouro Nacional - STN</t>
    </r>
  </si>
  <si>
    <r>
      <rPr>
        <sz val="9"/>
        <rFont val="Arial MT"/>
        <family val="2"/>
      </rPr>
      <t>BANCO INTER</t>
    </r>
  </si>
  <si>
    <r>
      <rPr>
        <sz val="9"/>
        <rFont val="Arial MT"/>
        <family val="2"/>
      </rPr>
      <t>Banco Inter S.A.</t>
    </r>
  </si>
  <si>
    <r>
      <rPr>
        <sz val="9"/>
        <rFont val="Arial MT"/>
        <family val="2"/>
      </rPr>
      <t>COLUNA S.A. DTVM</t>
    </r>
  </si>
  <si>
    <r>
      <rPr>
        <sz val="9"/>
        <rFont val="Arial MT"/>
        <family val="2"/>
      </rPr>
      <t>COLUNA S/A DISTRIBUIDORA DE TITULOS E VALORES MOBILIÁRIOS</t>
    </r>
  </si>
  <si>
    <r>
      <rPr>
        <sz val="9"/>
        <rFont val="Arial MT"/>
        <family val="2"/>
      </rPr>
      <t>BCO RIBEIRAO PRETO S.A.</t>
    </r>
  </si>
  <si>
    <r>
      <rPr>
        <sz val="9"/>
        <rFont val="Arial MT"/>
        <family val="2"/>
      </rPr>
      <t>BANCO RIBEIRAO PRETO S.A.</t>
    </r>
  </si>
  <si>
    <r>
      <rPr>
        <sz val="9"/>
        <rFont val="Arial MT"/>
        <family val="2"/>
      </rPr>
      <t>BANCO BARI S.A.</t>
    </r>
  </si>
  <si>
    <r>
      <rPr>
        <sz val="9"/>
        <rFont val="Arial MT"/>
        <family val="2"/>
      </rPr>
      <t>BANCO BARI DE INVESTIMENTOS E FINAN</t>
    </r>
  </si>
  <si>
    <r>
      <rPr>
        <sz val="9"/>
        <rFont val="Arial MT"/>
        <family val="2"/>
      </rPr>
      <t>EWALLY IP S.A.</t>
    </r>
  </si>
  <si>
    <r>
      <rPr>
        <sz val="9"/>
        <rFont val="Arial MT"/>
        <family val="2"/>
      </rPr>
      <t>EWALLY INSTITUIÇÃO DE PAGAMENTO S.A.</t>
    </r>
  </si>
  <si>
    <r>
      <rPr>
        <sz val="9"/>
        <rFont val="Arial MT"/>
        <family val="2"/>
      </rPr>
      <t>BANCO SEMEAR</t>
    </r>
  </si>
  <si>
    <r>
      <rPr>
        <sz val="9"/>
        <rFont val="Arial MT"/>
        <family val="2"/>
      </rPr>
      <t>Banco Semear S.A.</t>
    </r>
  </si>
  <si>
    <r>
      <rPr>
        <sz val="9"/>
        <rFont val="Arial MT"/>
        <family val="2"/>
      </rPr>
      <t>PLANNER CV S.A.</t>
    </r>
  </si>
  <si>
    <r>
      <rPr>
        <sz val="9"/>
        <rFont val="Arial MT"/>
        <family val="2"/>
      </rPr>
      <t>Planner Corretora de Valores S.A.</t>
    </r>
  </si>
  <si>
    <r>
      <rPr>
        <sz val="9"/>
        <rFont val="Arial MT"/>
        <family val="2"/>
      </rPr>
      <t>FDO GARANTIDOR CRÉDITOS</t>
    </r>
  </si>
  <si>
    <r>
      <rPr>
        <sz val="9"/>
        <rFont val="Arial MT"/>
        <family val="2"/>
      </rPr>
      <t>FUNDO GARANTIDOR DE CREDITOS - FGC</t>
    </r>
  </si>
  <si>
    <r>
      <rPr>
        <sz val="9"/>
        <rFont val="Arial MT"/>
        <family val="2"/>
      </rPr>
      <t>BCO B3 S.A.</t>
    </r>
  </si>
  <si>
    <r>
      <rPr>
        <sz val="9"/>
        <rFont val="Arial MT"/>
        <family val="2"/>
      </rPr>
      <t>Banco B3 S.A.</t>
    </r>
  </si>
  <si>
    <r>
      <rPr>
        <sz val="9"/>
        <rFont val="Arial MT"/>
        <family val="2"/>
      </rPr>
      <t>BCO RABOBANK INTL BRASIL S.A.</t>
    </r>
  </si>
  <si>
    <r>
      <rPr>
        <sz val="9"/>
        <rFont val="Arial MT"/>
        <family val="2"/>
      </rPr>
      <t>Banco Rabobank International Brasil S.A.</t>
    </r>
  </si>
  <si>
    <r>
      <rPr>
        <sz val="9"/>
        <rFont val="Arial MT"/>
        <family val="2"/>
      </rPr>
      <t>CIELO IP S.A.</t>
    </r>
  </si>
  <si>
    <r>
      <rPr>
        <sz val="9"/>
        <rFont val="Arial MT"/>
        <family val="2"/>
      </rPr>
      <t>CIELO S.A. - INSTITUIÇÃO DE PAGAMENTO</t>
    </r>
  </si>
  <si>
    <r>
      <rPr>
        <sz val="9"/>
        <rFont val="Arial MT"/>
        <family val="2"/>
      </rPr>
      <t>CCR DE ABELARDO LUZ</t>
    </r>
  </si>
  <si>
    <r>
      <rPr>
        <sz val="9"/>
        <rFont val="Arial MT"/>
        <family val="2"/>
      </rPr>
      <t>Cooperativa de Crédito Rural de Abelardo Luz - Sulcredi/Crediluz</t>
    </r>
  </si>
  <si>
    <r>
      <rPr>
        <sz val="9"/>
        <rFont val="Arial MT"/>
        <family val="2"/>
      </rPr>
      <t>BCO COOPERATIVO SICREDI S.A.</t>
    </r>
  </si>
  <si>
    <r>
      <rPr>
        <sz val="9"/>
        <rFont val="Arial MT"/>
        <family val="2"/>
      </rPr>
      <t>BANCO COOPERATIVO SICREDI S.A.</t>
    </r>
  </si>
  <si>
    <r>
      <rPr>
        <sz val="9"/>
        <rFont val="Arial MT"/>
        <family val="2"/>
      </rPr>
      <t>CREHNOR LARANJEIRAS</t>
    </r>
  </si>
  <si>
    <r>
      <rPr>
        <sz val="9"/>
        <rFont val="Arial MT"/>
        <family val="2"/>
      </rPr>
      <t>COOPERATIVA DE CRÉDITO RURAL DE PEQUENOS AGRICULTORES E DA REFORMA AGRÁRIA DO CENTRO OESTE DO PARANÁ - CREHNOR LARANJEIRAS</t>
    </r>
  </si>
  <si>
    <r>
      <rPr>
        <sz val="9"/>
        <rFont val="Arial MT"/>
        <family val="2"/>
      </rPr>
      <t>BCO BNP PARIBAS BRASIL S A</t>
    </r>
  </si>
  <si>
    <r>
      <rPr>
        <sz val="9"/>
        <rFont val="Arial MT"/>
        <family val="2"/>
      </rPr>
      <t>Banco BNP Paribas Brasil S.A.</t>
    </r>
  </si>
  <si>
    <r>
      <rPr>
        <sz val="9"/>
        <rFont val="Arial MT"/>
        <family val="2"/>
      </rPr>
      <t>CECM COOPERFORTE</t>
    </r>
  </si>
  <si>
    <r>
      <rPr>
        <sz val="9"/>
        <rFont val="Arial MT"/>
        <family val="2"/>
      </rPr>
      <t>COOPERFORTE - COOPERATIVA DE ECONOMIA E CRÉDITO MÚTUO DE FUNCIONÁRIOS DE INSTITUIÇÕES FINANCEIRAS PÚBLICAS FEDERAIS LTDA.</t>
    </r>
  </si>
  <si>
    <r>
      <rPr>
        <sz val="9"/>
        <rFont val="Arial MT"/>
        <family val="2"/>
      </rPr>
      <t>Kirton Bank</t>
    </r>
  </si>
  <si>
    <r>
      <rPr>
        <sz val="9"/>
        <rFont val="Arial MT"/>
        <family val="2"/>
      </rPr>
      <t>Kirton Bank S.A. - Banco Múltiplo</t>
    </r>
  </si>
  <si>
    <r>
      <rPr>
        <sz val="9"/>
        <rFont val="Arial MT"/>
        <family val="2"/>
      </rPr>
      <t>BCO BRASILEIRO DE CRÉDITO S.A.</t>
    </r>
  </si>
  <si>
    <r>
      <rPr>
        <sz val="9"/>
        <rFont val="Arial MT"/>
        <family val="2"/>
      </rPr>
      <t>BCO BV S.A.</t>
    </r>
  </si>
  <si>
    <r>
      <rPr>
        <sz val="9"/>
        <rFont val="Arial MT"/>
        <family val="2"/>
      </rPr>
      <t>BANCO BV S.A.</t>
    </r>
  </si>
  <si>
    <r>
      <rPr>
        <sz val="9"/>
        <rFont val="Arial MT"/>
        <family val="2"/>
      </rPr>
      <t>BANCO SICOOB S.A.</t>
    </r>
  </si>
  <si>
    <r>
      <rPr>
        <sz val="9"/>
        <rFont val="Arial MT"/>
        <family val="2"/>
      </rPr>
      <t>BANCO COOPERATIVO SICOOB S.A. - BANCO SICOOB</t>
    </r>
  </si>
  <si>
    <r>
      <rPr>
        <sz val="9"/>
        <rFont val="Arial MT"/>
        <family val="2"/>
      </rPr>
      <t>TRINUS CAPITAL DTVM</t>
    </r>
  </si>
  <si>
    <r>
      <rPr>
        <sz val="9"/>
        <rFont val="Arial MT"/>
        <family val="2"/>
      </rPr>
      <t>TRINUS CAPITAL DISTRIBUIDORA DE TÍTULOS E VALORES MOBILIÁRIOS S.A.</t>
    </r>
  </si>
  <si>
    <r>
      <rPr>
        <sz val="9"/>
        <rFont val="Arial MT"/>
        <family val="2"/>
      </rPr>
      <t>BCO KEB HANA DO BRASIL S.A.</t>
    </r>
  </si>
  <si>
    <r>
      <rPr>
        <sz val="9"/>
        <rFont val="Arial MT"/>
        <family val="2"/>
      </rPr>
      <t>BANCO KEB HANA DO BRASIL S.A.</t>
    </r>
  </si>
  <si>
    <r>
      <rPr>
        <sz val="9"/>
        <rFont val="Arial MT"/>
        <family val="2"/>
      </rPr>
      <t>XP INVESTIMENTOS CCTVM S/A</t>
    </r>
  </si>
  <si>
    <r>
      <rPr>
        <sz val="9"/>
        <rFont val="Arial MT"/>
        <family val="2"/>
      </rPr>
      <t>XP INVESTIMENTOS CORRETORA DE CÂMBIO,TÍTULOS E VALORES MOBILIÁRIOS S/A</t>
    </r>
  </si>
  <si>
    <r>
      <rPr>
        <sz val="9"/>
        <rFont val="Arial MT"/>
        <family val="2"/>
      </rPr>
      <t>SISPRIME DO BRASIL - COOP</t>
    </r>
  </si>
  <si>
    <r>
      <rPr>
        <sz val="9"/>
        <rFont val="Arial MT"/>
        <family val="2"/>
      </rPr>
      <t>SISPRIME DO BRASIL - COOPERATIVA DE CRÉDITO</t>
    </r>
  </si>
  <si>
    <r>
      <rPr>
        <sz val="9"/>
        <rFont val="Arial MT"/>
        <family val="2"/>
      </rPr>
      <t>PAN CFI</t>
    </r>
  </si>
  <si>
    <r>
      <rPr>
        <sz val="9"/>
        <rFont val="Arial MT"/>
        <family val="2"/>
      </rPr>
      <t>PAN FINANCEIRA S.A. - CRÉDITO, FINANCIAMENTO E INVESTIMENTOS</t>
    </r>
  </si>
  <si>
    <r>
      <rPr>
        <sz val="9"/>
        <rFont val="Arial MT"/>
        <family val="2"/>
      </rPr>
      <t>CM CAPITAL MARKETS CCTVM LTDA</t>
    </r>
  </si>
  <si>
    <r>
      <rPr>
        <sz val="9"/>
        <rFont val="Arial MT"/>
        <family val="2"/>
      </rPr>
      <t>CM CAPITAL MARKETS CORRETORA DE CÂMBIO, TÍTULOS E VALORES MOBILIÁRIOS LTDA</t>
    </r>
  </si>
  <si>
    <r>
      <rPr>
        <sz val="9"/>
        <rFont val="Arial MT"/>
        <family val="2"/>
      </rPr>
      <t>BCO MORGAN STANLEY S.A.</t>
    </r>
  </si>
  <si>
    <r>
      <rPr>
        <sz val="9"/>
        <rFont val="Arial MT"/>
        <family val="2"/>
      </rPr>
      <t>BANCO MORGAN STANLEY S.A.</t>
    </r>
  </si>
  <si>
    <r>
      <rPr>
        <sz val="9"/>
        <rFont val="Arial MT"/>
        <family val="2"/>
      </rPr>
      <t>UBS BRASIL CCTVM S.A.</t>
    </r>
  </si>
  <si>
    <r>
      <rPr>
        <sz val="9"/>
        <rFont val="Arial MT"/>
        <family val="2"/>
      </rPr>
      <t>UBS Brasil Corretora de Câmbio, Títulos e Valores Mobiliários S.A.</t>
    </r>
  </si>
  <si>
    <r>
      <rPr>
        <sz val="9"/>
        <rFont val="Arial MT"/>
        <family val="2"/>
      </rPr>
      <t>TREVISO CC S.A.</t>
    </r>
  </si>
  <si>
    <r>
      <rPr>
        <sz val="9"/>
        <rFont val="Arial MT"/>
        <family val="2"/>
      </rPr>
      <t>Treviso Corretora de Câmbio S.A.</t>
    </r>
  </si>
  <si>
    <r>
      <rPr>
        <sz val="9"/>
        <rFont val="Arial MT"/>
        <family val="2"/>
      </rPr>
      <t>CIP SA Siloc</t>
    </r>
  </si>
  <si>
    <r>
      <rPr>
        <sz val="9"/>
        <rFont val="Arial MT"/>
        <family val="2"/>
      </rPr>
      <t>CIP S.A</t>
    </r>
  </si>
  <si>
    <r>
      <rPr>
        <sz val="9"/>
        <rFont val="Arial MT"/>
        <family val="2"/>
      </rPr>
      <t>HIPERCARD BM S.A.</t>
    </r>
  </si>
  <si>
    <r>
      <rPr>
        <sz val="9"/>
        <rFont val="Arial MT"/>
        <family val="2"/>
      </rPr>
      <t>Hipercard Banco Múltiplo S.A.</t>
    </r>
  </si>
  <si>
    <r>
      <rPr>
        <sz val="9"/>
        <rFont val="Arial MT"/>
        <family val="2"/>
      </rPr>
      <t>BCO. J.SAFRA S.A.</t>
    </r>
  </si>
  <si>
    <r>
      <rPr>
        <sz val="9"/>
        <rFont val="Arial MT"/>
        <family val="2"/>
      </rPr>
      <t>Banco J. Safra S.A.</t>
    </r>
  </si>
  <si>
    <r>
      <rPr>
        <sz val="9"/>
        <rFont val="Arial MT"/>
        <family val="2"/>
      </rPr>
      <t>UNIPRIME COOPCENTRAL LTDA.</t>
    </r>
  </si>
  <si>
    <r>
      <rPr>
        <sz val="9"/>
        <rFont val="Arial MT"/>
        <family val="2"/>
      </rPr>
      <t>UNIPRIME CENTRAL NACIONAL - CENTRAL NACIONAL DE COOPERATIVA DE CREDITO</t>
    </r>
  </si>
  <si>
    <r>
      <rPr>
        <sz val="9"/>
        <rFont val="Arial MT"/>
        <family val="2"/>
      </rPr>
      <t>BCO TOYOTA DO BRASIL S.A.</t>
    </r>
  </si>
  <si>
    <r>
      <rPr>
        <sz val="9"/>
        <rFont val="Arial MT"/>
        <family val="2"/>
      </rPr>
      <t>Banco Toyota do Brasil S.A.</t>
    </r>
  </si>
  <si>
    <r>
      <rPr>
        <sz val="9"/>
        <rFont val="Arial MT"/>
        <family val="2"/>
      </rPr>
      <t>PARATI - CFI S.A.</t>
    </r>
  </si>
  <si>
    <r>
      <rPr>
        <sz val="9"/>
        <rFont val="Arial MT"/>
        <family val="2"/>
      </rPr>
      <t>PARATI - CREDITO, FINANCIAMENTO E INVESTIMENTO S.A.</t>
    </r>
  </si>
  <si>
    <r>
      <rPr>
        <sz val="9"/>
        <rFont val="Arial MT"/>
        <family val="2"/>
      </rPr>
      <t>BCO ALFA S.A.</t>
    </r>
  </si>
  <si>
    <r>
      <rPr>
        <sz val="9"/>
        <rFont val="Arial MT"/>
        <family val="2"/>
      </rPr>
      <t>Banco Alfa S.A.</t>
    </r>
  </si>
  <si>
    <r>
      <rPr>
        <sz val="9"/>
        <rFont val="Arial MT"/>
        <family val="2"/>
      </rPr>
      <t>BCO ABN AMRO S.A.</t>
    </r>
  </si>
  <si>
    <r>
      <rPr>
        <sz val="9"/>
        <rFont val="Arial MT"/>
        <family val="2"/>
      </rPr>
      <t>Banco ABN Amro S.A.</t>
    </r>
  </si>
  <si>
    <r>
      <rPr>
        <sz val="9"/>
        <rFont val="Arial MT"/>
        <family val="2"/>
      </rPr>
      <t>BCO CARGILL S.A.</t>
    </r>
  </si>
  <si>
    <r>
      <rPr>
        <sz val="9"/>
        <rFont val="Arial MT"/>
        <family val="2"/>
      </rPr>
      <t>Banco Cargill S.A.</t>
    </r>
  </si>
  <si>
    <r>
      <rPr>
        <sz val="9"/>
        <rFont val="Arial MT"/>
        <family val="2"/>
      </rPr>
      <t>TERRA INVESTIMENTOS DTVM</t>
    </r>
  </si>
  <si>
    <r>
      <rPr>
        <sz val="9"/>
        <rFont val="Arial MT"/>
        <family val="2"/>
      </rPr>
      <t>Terra Investimentos Distribuidora de Títulos e Valores Mobiliários Ltda.</t>
    </r>
  </si>
  <si>
    <r>
      <rPr>
        <sz val="9"/>
        <rFont val="Arial MT"/>
        <family val="2"/>
      </rPr>
      <t>CECM DOS TRAB.PORT. DA G.VITOR</t>
    </r>
  </si>
  <si>
    <r>
      <rPr>
        <sz val="9"/>
        <rFont val="Arial MT"/>
        <family val="2"/>
      </rPr>
      <t>COOPERATIVA DE ECONOMIA E CREDITO MUTUO DOS TRABALHADORES PORTUARIOS DA GRANDE VITORIA - CREDESTIVA.</t>
    </r>
  </si>
  <si>
    <r>
      <rPr>
        <sz val="9"/>
        <rFont val="Arial MT"/>
        <family val="2"/>
      </rPr>
      <t>SOCINAL S.A. CFI</t>
    </r>
  </si>
  <si>
    <r>
      <rPr>
        <sz val="9"/>
        <rFont val="Arial MT"/>
        <family val="2"/>
      </rPr>
      <t>SOCINAL S.A. - CRÉDITO, FINANCIAMENTO E INVESTIMENTO</t>
    </r>
  </si>
  <si>
    <r>
      <rPr>
        <sz val="9"/>
        <rFont val="Arial MT"/>
        <family val="2"/>
      </rPr>
      <t>SERVICOOP</t>
    </r>
  </si>
  <si>
    <r>
      <rPr>
        <sz val="9"/>
        <rFont val="Arial MT"/>
        <family val="2"/>
      </rPr>
      <t>SERVICOOP - COOPERATIVA DE CRÉDITO DOS SERVIDORES PÚBLICOS ESTADUAIS E MUNICIPAIS DO RIO GRANDE DO SUL</t>
    </r>
  </si>
  <si>
    <r>
      <rPr>
        <sz val="9"/>
        <rFont val="Arial MT"/>
        <family val="2"/>
      </rPr>
      <t>OZ CORRETORA DE CÂMBIO S.A.</t>
    </r>
  </si>
  <si>
    <r>
      <rPr>
        <sz val="9"/>
        <rFont val="Arial MT"/>
        <family val="2"/>
      </rPr>
      <t>BANCO BRADESCARD</t>
    </r>
  </si>
  <si>
    <r>
      <rPr>
        <sz val="9"/>
        <rFont val="Arial MT"/>
        <family val="2"/>
      </rPr>
      <t>Banco Bradescard S.A.</t>
    </r>
  </si>
  <si>
    <r>
      <rPr>
        <sz val="9"/>
        <rFont val="Arial MT"/>
        <family val="2"/>
      </rPr>
      <t>NOVA FUTURA CTVM LTDA.</t>
    </r>
  </si>
  <si>
    <r>
      <rPr>
        <sz val="9"/>
        <rFont val="Arial MT"/>
        <family val="2"/>
      </rPr>
      <t>Nova Futura Corretora de Títulos e Valores Mobiliários Ltda.</t>
    </r>
  </si>
  <si>
    <r>
      <rPr>
        <sz val="9"/>
        <rFont val="Arial MT"/>
        <family val="2"/>
      </rPr>
      <t>FIDUCIA SCMEPP LTDA</t>
    </r>
  </si>
  <si>
    <r>
      <rPr>
        <sz val="9"/>
        <rFont val="Arial MT"/>
        <family val="2"/>
      </rPr>
      <t>FIDÚCIA SOCIEDADE DE CRÉDITO AO MICROEMPREENDEDOR E À EMPRESA DE PEQUENO PORTE LIMITADA.</t>
    </r>
  </si>
  <si>
    <r>
      <rPr>
        <sz val="9"/>
        <rFont val="Arial MT"/>
        <family val="2"/>
      </rPr>
      <t>GOLDMAN SACHS DO BRASIL BM S.A</t>
    </r>
  </si>
  <si>
    <r>
      <rPr>
        <sz val="9"/>
        <rFont val="Arial MT"/>
        <family val="2"/>
      </rPr>
      <t>GOLDMAN SACHS DO BRASIL BANCO MULTIPLO S.A.</t>
    </r>
  </si>
  <si>
    <r>
      <rPr>
        <sz val="9"/>
        <rFont val="Arial MT"/>
        <family val="2"/>
      </rPr>
      <t>CIP SA Sitraf</t>
    </r>
  </si>
  <si>
    <r>
      <rPr>
        <sz val="9"/>
        <rFont val="Arial MT"/>
        <family val="2"/>
      </rPr>
      <t>CREDISIS - CENTRAL DE COOPERATIVAS DE CRÉDITO LTDA.</t>
    </r>
  </si>
  <si>
    <r>
      <rPr>
        <sz val="9"/>
        <rFont val="Arial MT"/>
        <family val="2"/>
      </rPr>
      <t>Credisis - Central de Cooperativas de Crédito Ltda.</t>
    </r>
  </si>
  <si>
    <r>
      <rPr>
        <sz val="9"/>
        <rFont val="Arial MT"/>
        <family val="2"/>
      </rPr>
      <t>CCM DESP TRÂNS SC E RS</t>
    </r>
  </si>
  <si>
    <r>
      <rPr>
        <sz val="9"/>
        <rFont val="Arial MT"/>
        <family val="2"/>
      </rPr>
      <t>COOPERATIVA DE CRÉDITO MÚTUO DOS DESPACHANTES DE TRÂNSITO DE SANTA CATARINA E RIO GRANDE DO SUL - SICOOB CREDITRAN</t>
    </r>
  </si>
  <si>
    <r>
      <rPr>
        <sz val="9"/>
        <rFont val="Arial MT"/>
        <family val="2"/>
      </rPr>
      <t>BCO AFINZ S.A. - BM</t>
    </r>
  </si>
  <si>
    <r>
      <rPr>
        <sz val="9"/>
        <rFont val="Arial MT"/>
        <family val="2"/>
      </rPr>
      <t>BANCO AFINZ S.A. - BANCO MÚLTIPLO</t>
    </r>
  </si>
  <si>
    <r>
      <rPr>
        <sz val="9"/>
        <rFont val="Arial MT"/>
        <family val="2"/>
      </rPr>
      <t>CECM SERV PUBL PINHÃO</t>
    </r>
  </si>
  <si>
    <r>
      <rPr>
        <sz val="9"/>
        <rFont val="Arial MT"/>
        <family val="2"/>
      </rPr>
      <t>COOPERATIVA DE ECONOMIA E CREDITO MUTUO DOS SERVIDORES PUBLICOS DE PINHÃO - CRESERV-PINHÃO</t>
    </r>
  </si>
  <si>
    <r>
      <rPr>
        <sz val="9"/>
        <rFont val="Arial MT"/>
        <family val="2"/>
      </rPr>
      <t>FACILICRED SCM LTDA</t>
    </r>
  </si>
  <si>
    <r>
      <rPr>
        <sz val="9"/>
        <rFont val="Arial MT"/>
        <family val="2"/>
      </rPr>
      <t>FACILICRED SOCIEDADE DE CRÉDITO AO MICROEMPREENDEDOR LTDA</t>
    </r>
  </si>
  <si>
    <r>
      <rPr>
        <sz val="9"/>
        <rFont val="Arial MT"/>
        <family val="2"/>
      </rPr>
      <t>PORTOSEG S.A. CFI</t>
    </r>
  </si>
  <si>
    <r>
      <rPr>
        <sz val="9"/>
        <rFont val="Arial MT"/>
        <family val="2"/>
      </rPr>
      <t>PORTOSEG S.A. - CREDITO, FINANCIAMENTO E INVESTIMENTO</t>
    </r>
  </si>
  <si>
    <r>
      <rPr>
        <sz val="9"/>
        <rFont val="Arial MT"/>
        <family val="2"/>
      </rPr>
      <t>BANCO INBURSA</t>
    </r>
  </si>
  <si>
    <r>
      <rPr>
        <sz val="9"/>
        <rFont val="Arial MT"/>
        <family val="2"/>
      </rPr>
      <t>Banco Inbursa S.A.</t>
    </r>
  </si>
  <si>
    <r>
      <rPr>
        <sz val="9"/>
        <rFont val="Arial MT"/>
        <family val="2"/>
      </rPr>
      <t>BCO DA AMAZONIA S.A.</t>
    </r>
  </si>
  <si>
    <r>
      <rPr>
        <sz val="9"/>
        <rFont val="Arial MT"/>
        <family val="2"/>
      </rPr>
      <t>BANCO DA AMAZONIA S.A.</t>
    </r>
  </si>
  <si>
    <r>
      <rPr>
        <sz val="9"/>
        <rFont val="Arial MT"/>
        <family val="2"/>
      </rPr>
      <t>CONFIDENCE CC S.A.</t>
    </r>
  </si>
  <si>
    <r>
      <rPr>
        <sz val="9"/>
        <rFont val="Arial MT"/>
        <family val="2"/>
      </rPr>
      <t>Internet</t>
    </r>
  </si>
  <si>
    <r>
      <rPr>
        <sz val="9"/>
        <rFont val="Arial MT"/>
        <family val="2"/>
      </rPr>
      <t>Confidence Corretora de Câmbio S.A.</t>
    </r>
  </si>
  <si>
    <r>
      <rPr>
        <sz val="9"/>
        <rFont val="Arial MT"/>
        <family val="2"/>
      </rPr>
      <t>BCO DO EST. DO PA S.A.</t>
    </r>
  </si>
  <si>
    <r>
      <rPr>
        <sz val="9"/>
        <rFont val="Arial MT"/>
        <family val="2"/>
      </rPr>
      <t>Banco do Estado do Pará S.A.</t>
    </r>
  </si>
  <si>
    <r>
      <rPr>
        <sz val="9"/>
        <rFont val="Arial MT"/>
        <family val="2"/>
      </rPr>
      <t>ZEMA CFI S/A</t>
    </r>
  </si>
  <si>
    <r>
      <rPr>
        <sz val="9"/>
        <rFont val="Arial MT"/>
        <family val="2"/>
      </rPr>
      <t>ZEMA CRÉDITO, FINANCIAMENTO E INVESTIMENTO S/A</t>
    </r>
  </si>
  <si>
    <r>
      <rPr>
        <sz val="9"/>
        <rFont val="Arial MT"/>
        <family val="2"/>
      </rPr>
      <t>CASA CREDITO S.A. SCM</t>
    </r>
  </si>
  <si>
    <r>
      <rPr>
        <sz val="9"/>
        <rFont val="Arial MT"/>
        <family val="2"/>
      </rPr>
      <t>Casa do Crédito S.A. Sociedade de Crédito ao Microempreendedor</t>
    </r>
  </si>
  <si>
    <r>
      <rPr>
        <sz val="9"/>
        <rFont val="Arial MT"/>
        <family val="2"/>
      </rPr>
      <t>COOPCENTRAL AILOS</t>
    </r>
  </si>
  <si>
    <r>
      <rPr>
        <sz val="9"/>
        <rFont val="Arial MT"/>
        <family val="2"/>
      </rPr>
      <t>Cooperativa Central de Crédito - Ailos</t>
    </r>
  </si>
  <si>
    <r>
      <rPr>
        <sz val="9"/>
        <rFont val="Arial MT"/>
        <family val="2"/>
      </rPr>
      <t>COOP CREDITAG</t>
    </r>
  </si>
  <si>
    <r>
      <rPr>
        <sz val="9"/>
        <rFont val="Arial MT"/>
        <family val="2"/>
      </rPr>
      <t>COOPERATIVA DE CRÉDITO, POUPANÇA E SERVIÇOS FINANCEIROS</t>
    </r>
  </si>
  <si>
    <r>
      <rPr>
        <sz val="9"/>
        <rFont val="Arial MT"/>
        <family val="2"/>
      </rPr>
      <t>CREDIARE CFI S.A.</t>
    </r>
  </si>
  <si>
    <r>
      <rPr>
        <sz val="9"/>
        <rFont val="Arial MT"/>
        <family val="2"/>
      </rPr>
      <t>Crediare S.A. - Crédito, financiamento e investimento</t>
    </r>
  </si>
  <si>
    <r>
      <rPr>
        <sz val="9"/>
        <rFont val="Arial MT"/>
        <family val="2"/>
      </rPr>
      <t>PLANNER SOCIEDADE DE CRÉDITO DIRETO</t>
    </r>
  </si>
  <si>
    <r>
      <rPr>
        <sz val="9"/>
        <rFont val="Arial MT"/>
        <family val="2"/>
      </rPr>
      <t>PLANNER SOCIEDADE DE CRÉDITO DIRETO S.A.</t>
    </r>
  </si>
  <si>
    <r>
      <rPr>
        <sz val="9"/>
        <rFont val="Arial MT"/>
        <family val="2"/>
      </rPr>
      <t>CECM FABRIC CALÇADOS SAPIRANGA</t>
    </r>
  </si>
  <si>
    <r>
      <rPr>
        <sz val="9"/>
        <rFont val="Arial MT"/>
        <family val="2"/>
      </rPr>
      <t>COOPERATIVA DE ECONOMIA E CRÉDITO MÚTUO DOS FABRICANTES DE CALÇADOS DE SAPIRANGA LTDA.</t>
    </r>
  </si>
  <si>
    <r>
      <rPr>
        <sz val="9"/>
        <rFont val="Arial MT"/>
        <family val="2"/>
      </rPr>
      <t>RPW S.A. SCFI</t>
    </r>
  </si>
  <si>
    <r>
      <rPr>
        <sz val="9"/>
        <rFont val="Arial MT"/>
        <family val="2"/>
      </rPr>
      <t>RPW S/A SOCIEDADE DE CRÉDITO, FINANCIAMENTO E INVESTIMENTO</t>
    </r>
  </si>
  <si>
    <r>
      <rPr>
        <sz val="9"/>
        <rFont val="Arial MT"/>
        <family val="2"/>
      </rPr>
      <t>BCO BBI S.A.</t>
    </r>
  </si>
  <si>
    <r>
      <rPr>
        <sz val="9"/>
        <rFont val="Arial MT"/>
        <family val="2"/>
      </rPr>
      <t>Banco Bradesco BBI S.A.</t>
    </r>
  </si>
  <si>
    <r>
      <rPr>
        <sz val="9"/>
        <rFont val="Arial MT"/>
        <family val="2"/>
      </rPr>
      <t>PICPAY INVEST</t>
    </r>
  </si>
  <si>
    <r>
      <rPr>
        <sz val="9"/>
        <rFont val="Arial MT"/>
        <family val="2"/>
      </rPr>
      <t>PICPAY INVEST DISTRIBUIDORA DE TÍTULOS E VALORES MOBILIÁRIOS LTDA</t>
    </r>
  </si>
  <si>
    <r>
      <rPr>
        <sz val="9"/>
        <rFont val="Arial MT"/>
        <family val="2"/>
      </rPr>
      <t>BCO BRADESCO FINANC. S.A.</t>
    </r>
  </si>
  <si>
    <r>
      <rPr>
        <sz val="9"/>
        <rFont val="Arial MT"/>
        <family val="2"/>
      </rPr>
      <t>Banco Bradesco Financiamentos S.A.</t>
    </r>
  </si>
  <si>
    <r>
      <rPr>
        <sz val="9"/>
        <rFont val="Arial MT"/>
        <family val="2"/>
      </rPr>
      <t>BCO DO NORDESTE DO BRASIL S.A.</t>
    </r>
  </si>
  <si>
    <r>
      <rPr>
        <sz val="9"/>
        <rFont val="Arial MT"/>
        <family val="2"/>
      </rPr>
      <t>Banco do Nordeste do Brasil S.A.</t>
    </r>
  </si>
  <si>
    <r>
      <rPr>
        <sz val="9"/>
        <rFont val="Arial MT"/>
        <family val="2"/>
      </rPr>
      <t>HEDGE INVESTMENTS DTVM LTDA.</t>
    </r>
  </si>
  <si>
    <r>
      <rPr>
        <sz val="9"/>
        <rFont val="Arial MT"/>
        <family val="2"/>
      </rPr>
      <t>HEDGE INVESTMENTS DISTRIBUIDORA DE TÍTULOS E VALORES MOBILIÁRIOS LTDA.</t>
    </r>
  </si>
  <si>
    <r>
      <rPr>
        <sz val="9"/>
        <rFont val="Arial MT"/>
        <family val="2"/>
      </rPr>
      <t>BCO CCB BRASIL S.A.</t>
    </r>
  </si>
  <si>
    <r>
      <rPr>
        <sz val="9"/>
        <rFont val="Arial MT"/>
        <family val="2"/>
      </rPr>
      <t>China Construction Bank (Brasil) Banco Múltiplo S/A</t>
    </r>
  </si>
  <si>
    <r>
      <rPr>
        <sz val="9"/>
        <rFont val="Arial MT"/>
        <family val="2"/>
      </rPr>
      <t>HS FINANCEIRA</t>
    </r>
  </si>
  <si>
    <r>
      <rPr>
        <sz val="9"/>
        <rFont val="Arial MT"/>
        <family val="2"/>
      </rPr>
      <t>HS FINANCEIRA S/A CREDITO, FINANCIAMENTO E INVESTIMENTOS</t>
    </r>
  </si>
  <si>
    <r>
      <rPr>
        <sz val="9"/>
        <rFont val="Arial MT"/>
        <family val="2"/>
      </rPr>
      <t>LECCA CFI S.A.</t>
    </r>
  </si>
  <si>
    <r>
      <rPr>
        <sz val="9"/>
        <rFont val="Arial MT"/>
        <family val="2"/>
      </rPr>
      <t>Lecca Crédito, Financiamento e Investimento S/A</t>
    </r>
  </si>
  <si>
    <r>
      <rPr>
        <sz val="9"/>
        <rFont val="Arial MT"/>
        <family val="2"/>
      </rPr>
      <t>BCO KDB BRASIL S.A.</t>
    </r>
  </si>
  <si>
    <r>
      <rPr>
        <sz val="9"/>
        <rFont val="Arial MT"/>
        <family val="2"/>
      </rPr>
      <t>Banco KDB do Brasil S.A.</t>
    </r>
  </si>
  <si>
    <r>
      <rPr>
        <sz val="9"/>
        <rFont val="Arial MT"/>
        <family val="2"/>
      </rPr>
      <t>BANCO TOPÁZIO S.A.</t>
    </r>
  </si>
  <si>
    <r>
      <rPr>
        <sz val="9"/>
        <rFont val="Arial MT"/>
        <family val="2"/>
      </rPr>
      <t>HSCM SCMEPP LTDA.</t>
    </r>
  </si>
  <si>
    <r>
      <rPr>
        <sz val="9"/>
        <rFont val="Arial MT"/>
        <family val="2"/>
      </rPr>
      <t>HSCM - SOCIEDADE DE CRÉDITO AO MICROEMPREENDEDOR E À EMPRESA DE PEQUENO PORTE LTDA.</t>
    </r>
  </si>
  <si>
    <r>
      <rPr>
        <sz val="9"/>
        <rFont val="Arial MT"/>
        <family val="2"/>
      </rPr>
      <t>VALOR SCD S.A.</t>
    </r>
  </si>
  <si>
    <r>
      <rPr>
        <sz val="9"/>
        <rFont val="Arial MT"/>
        <family val="2"/>
      </rPr>
      <t>VALOR SOCIEDADE DE CRÉDITO DIRETO S.A.</t>
    </r>
  </si>
  <si>
    <r>
      <rPr>
        <sz val="9"/>
        <rFont val="Arial MT"/>
        <family val="2"/>
      </rPr>
      <t>POLOCRED SCMEPP LTDA.</t>
    </r>
  </si>
  <si>
    <r>
      <rPr>
        <sz val="9"/>
        <rFont val="Arial MT"/>
        <family val="2"/>
      </rPr>
      <t>PÓLOCRED   SOCIEDADE DE CRÉDITO AO MICROEMPREENDEDOR E À EMPRESA DE PEQUENO PORTE LTDA.</t>
    </r>
  </si>
  <si>
    <r>
      <rPr>
        <sz val="9"/>
        <rFont val="Arial MT"/>
        <family val="2"/>
      </rPr>
      <t>CCR DE IBIAM</t>
    </r>
  </si>
  <si>
    <r>
      <rPr>
        <sz val="9"/>
        <rFont val="Arial MT"/>
        <family val="2"/>
      </rPr>
      <t>COOPERATIVA DE CREDITO RURAL DE IBIAM - SULCREDI/IBIAM</t>
    </r>
  </si>
  <si>
    <r>
      <rPr>
        <sz val="9"/>
        <rFont val="Arial MT"/>
        <family val="2"/>
      </rPr>
      <t>CCR DE SÃO MIGUEL DO OESTE</t>
    </r>
  </si>
  <si>
    <r>
      <rPr>
        <sz val="9"/>
        <rFont val="Arial MT"/>
        <family val="2"/>
      </rPr>
      <t>Cooperativa de Crédito Rural de São Miguel do Oeste - Sulcredi/São Miguel</t>
    </r>
  </si>
  <si>
    <r>
      <rPr>
        <sz val="9"/>
        <rFont val="Arial MT"/>
        <family val="2"/>
      </rPr>
      <t>BCO CSF S.A.</t>
    </r>
  </si>
  <si>
    <r>
      <rPr>
        <sz val="9"/>
        <rFont val="Arial MT"/>
        <family val="2"/>
      </rPr>
      <t>Banco CSF S.A.</t>
    </r>
  </si>
  <si>
    <r>
      <rPr>
        <sz val="9"/>
        <rFont val="Arial MT"/>
        <family val="2"/>
      </rPr>
      <t>PAGSEGURO INTERNET IP S.A.</t>
    </r>
  </si>
  <si>
    <r>
      <rPr>
        <sz val="9"/>
        <rFont val="Arial MT"/>
        <family val="2"/>
      </rPr>
      <t>PAGSEGURO INTERNET INSTITUIÇÃO DE PAGAMENTO S.A.</t>
    </r>
  </si>
  <si>
    <r>
      <rPr>
        <sz val="9"/>
        <rFont val="Arial MT"/>
        <family val="2"/>
      </rPr>
      <t>MONEYCORP BCO DE CÂMBIO S.A.</t>
    </r>
  </si>
  <si>
    <r>
      <rPr>
        <sz val="9"/>
        <rFont val="Arial MT"/>
        <family val="2"/>
      </rPr>
      <t>MONEYCORP BANCO DE CÂMBIO S.A.</t>
    </r>
  </si>
  <si>
    <r>
      <rPr>
        <sz val="9"/>
        <rFont val="Arial MT"/>
        <family val="2"/>
      </rPr>
      <t>F D GOLD DTVM LTDA</t>
    </r>
  </si>
  <si>
    <r>
      <rPr>
        <sz val="9"/>
        <rFont val="Arial MT"/>
        <family val="2"/>
      </rPr>
      <t>F.D'GOLD - DISTRIBUIDORA DE TÍTULOS E VALORES MOBILIÁRIOS LTDA.</t>
    </r>
  </si>
  <si>
    <r>
      <rPr>
        <sz val="9"/>
        <rFont val="Arial MT"/>
        <family val="2"/>
      </rPr>
      <t>EFÍ S.A. - IP</t>
    </r>
  </si>
  <si>
    <r>
      <rPr>
        <sz val="9"/>
        <rFont val="Arial MT"/>
        <family val="2"/>
      </rPr>
      <t>EFÍ S.A. - INSTITUIÇÃO DE PAGAMENTO</t>
    </r>
  </si>
  <si>
    <r>
      <rPr>
        <sz val="9"/>
        <rFont val="Arial MT"/>
        <family val="2"/>
      </rPr>
      <t>ICAP DO BRASIL CTVM LTDA.</t>
    </r>
  </si>
  <si>
    <r>
      <rPr>
        <sz val="9"/>
        <rFont val="Arial MT"/>
        <family val="2"/>
      </rPr>
      <t>ICAP do Brasil Corretora de Títulos e Valores Mobiliários Ltda.</t>
    </r>
  </si>
  <si>
    <r>
      <rPr>
        <sz val="9"/>
        <rFont val="Arial MT"/>
        <family val="2"/>
      </rPr>
      <t>SOCRED SA - SCMEPP</t>
    </r>
  </si>
  <si>
    <r>
      <rPr>
        <sz val="9"/>
        <rFont val="Arial MT"/>
        <family val="2"/>
      </rPr>
      <t>SOCRED S.A. - SOCIEDADE DE CRÉDITO AO MICROEMPREENDEDOR E À EMPRESA DE PEQUENO PORTE</t>
    </r>
  </si>
  <si>
    <r>
      <rPr>
        <sz val="9"/>
        <rFont val="Arial MT"/>
        <family val="2"/>
      </rPr>
      <t>STATE STREET BR S.A. BCO COMERCIAL</t>
    </r>
  </si>
  <si>
    <r>
      <rPr>
        <sz val="9"/>
        <rFont val="Arial MT"/>
        <family val="2"/>
      </rPr>
      <t>STATE STREET BRASIL S.A. - BANCO COMERCIAL</t>
    </r>
  </si>
  <si>
    <r>
      <rPr>
        <sz val="9"/>
        <rFont val="Arial MT"/>
        <family val="2"/>
      </rPr>
      <t>CARUANA SCFI</t>
    </r>
  </si>
  <si>
    <r>
      <rPr>
        <sz val="9"/>
        <rFont val="Arial MT"/>
        <family val="2"/>
      </rPr>
      <t>CARUANA S.A. - SOCIEDADE DE CRÉDITO, FINANCIAMENTO E INVESTIMENTO</t>
    </r>
  </si>
  <si>
    <r>
      <rPr>
        <sz val="9"/>
        <rFont val="Arial MT"/>
        <family val="2"/>
      </rPr>
      <t>MIDWAY S.A. - SCFI</t>
    </r>
  </si>
  <si>
    <r>
      <rPr>
        <sz val="9"/>
        <rFont val="Arial MT"/>
        <family val="2"/>
      </rPr>
      <t>MIDWAY S.A. - CRÉDITO, FINANCIAMENTO E INVESTIMENTO</t>
    </r>
  </si>
  <si>
    <r>
      <rPr>
        <sz val="9"/>
        <rFont val="Arial MT"/>
        <family val="2"/>
      </rPr>
      <t>CODEPE CVC S.A.</t>
    </r>
  </si>
  <si>
    <r>
      <rPr>
        <sz val="9"/>
        <rFont val="Arial MT"/>
        <family val="2"/>
      </rPr>
      <t>Codepe Corretora de Valores e Câmbio S.A.</t>
    </r>
  </si>
  <si>
    <r>
      <rPr>
        <sz val="9"/>
        <rFont val="Arial MT"/>
        <family val="2"/>
      </rPr>
      <t>PICPAY BANK - BANCO MÚLTIPLO S.A</t>
    </r>
  </si>
  <si>
    <r>
      <rPr>
        <sz val="9"/>
        <rFont val="Arial MT"/>
        <family val="2"/>
      </rPr>
      <t>MASTER BI S.A.</t>
    </r>
  </si>
  <si>
    <r>
      <rPr>
        <sz val="9"/>
        <rFont val="Arial MT"/>
        <family val="2"/>
      </rPr>
      <t>BANCO MASTER DE INVESTIMENTO S.A.</t>
    </r>
  </si>
  <si>
    <r>
      <rPr>
        <sz val="9"/>
        <rFont val="Arial MT"/>
        <family val="2"/>
      </rPr>
      <t>SUPERDIGITAL I.P. S.A.</t>
    </r>
  </si>
  <si>
    <r>
      <rPr>
        <sz val="9"/>
        <rFont val="Arial MT"/>
        <family val="2"/>
      </rPr>
      <t>SUPERDIGITAL INSTITUIÇÃO DE PAGAMENTO S.A.</t>
    </r>
  </si>
  <si>
    <r>
      <rPr>
        <sz val="9"/>
        <rFont val="Arial MT"/>
        <family val="2"/>
      </rPr>
      <t>BANCOSEGURO S.A.</t>
    </r>
  </si>
  <si>
    <r>
      <rPr>
        <sz val="9"/>
        <rFont val="Arial MT"/>
        <family val="2"/>
      </rPr>
      <t>BancoSeguro S.A.</t>
    </r>
  </si>
  <si>
    <r>
      <rPr>
        <sz val="9"/>
        <rFont val="Arial MT"/>
        <family val="2"/>
      </rPr>
      <t>BCO YAMAHA MOTOR S.A.</t>
    </r>
  </si>
  <si>
    <r>
      <rPr>
        <sz val="9"/>
        <rFont val="Arial MT"/>
        <family val="2"/>
      </rPr>
      <t>Banco Yamaha Motor do Brasil S.A.</t>
    </r>
  </si>
  <si>
    <r>
      <rPr>
        <sz val="9"/>
        <rFont val="Arial MT"/>
        <family val="2"/>
      </rPr>
      <t>CRESOL CONFEDERAÇÃO</t>
    </r>
  </si>
  <si>
    <r>
      <rPr>
        <sz val="9"/>
        <rFont val="Arial MT"/>
        <family val="2"/>
      </rPr>
      <t>CONFEDERAÇÃO NACIONAL DAS COOPERATIVAS CENTRAIS DE CRÉDITO E ECONOMIA FAMILIAR E SOLIDÁRIA - CRESOL CONFEDERAÇÃO</t>
    </r>
  </si>
  <si>
    <r>
      <rPr>
        <sz val="9"/>
        <rFont val="Arial MT"/>
        <family val="2"/>
      </rPr>
      <t>MERCADO PAGO IP LTDA.</t>
    </r>
  </si>
  <si>
    <r>
      <rPr>
        <sz val="9"/>
        <rFont val="Arial MT"/>
        <family val="2"/>
      </rPr>
      <t>MERCADO PAGO INSTITUIÇÃO DE PAGAMENTO LTDA.</t>
    </r>
  </si>
  <si>
    <r>
      <rPr>
        <sz val="9"/>
        <rFont val="Arial MT"/>
        <family val="2"/>
      </rPr>
      <t>BCO AGIBANK S.A.</t>
    </r>
  </si>
  <si>
    <r>
      <rPr>
        <sz val="9"/>
        <rFont val="Arial MT"/>
        <family val="2"/>
      </rPr>
      <t>Banco Agibank S.A.</t>
    </r>
  </si>
  <si>
    <r>
      <rPr>
        <sz val="9"/>
        <rFont val="Arial MT"/>
        <family val="2"/>
      </rPr>
      <t>BCO DA CHINA BRASIL S.A.</t>
    </r>
  </si>
  <si>
    <r>
      <rPr>
        <sz val="9"/>
        <rFont val="Arial MT"/>
        <family val="2"/>
      </rPr>
      <t>Banco da China Brasil S.A.</t>
    </r>
  </si>
  <si>
    <r>
      <rPr>
        <sz val="9"/>
        <rFont val="Arial MT"/>
        <family val="2"/>
      </rPr>
      <t>GET MONEY CC LTDA</t>
    </r>
  </si>
  <si>
    <r>
      <rPr>
        <sz val="9"/>
        <rFont val="Arial MT"/>
        <family val="2"/>
      </rPr>
      <t>Get Money Corretora de Câmbio S.A.</t>
    </r>
  </si>
  <si>
    <r>
      <rPr>
        <sz val="9"/>
        <rFont val="Arial MT"/>
        <family val="2"/>
      </rPr>
      <t>BCO BANDEPE S.A.</t>
    </r>
  </si>
  <si>
    <r>
      <rPr>
        <sz val="9"/>
        <rFont val="Arial MT"/>
        <family val="2"/>
      </rPr>
      <t>Banco Bandepe S.A.</t>
    </r>
  </si>
  <si>
    <r>
      <rPr>
        <sz val="9"/>
        <rFont val="Arial MT"/>
        <family val="2"/>
      </rPr>
      <t>GLOBAL SCM LTDA</t>
    </r>
  </si>
  <si>
    <r>
      <rPr>
        <sz val="9"/>
        <rFont val="Arial MT"/>
        <family val="2"/>
      </rPr>
      <t>GLOBAL FINANÇAS SOCIEDADE DE CRÉDITO AO MICROEMPREENDEDOR E À EMPRESA DE PEQUENO PORTE LTDA.</t>
    </r>
  </si>
  <si>
    <r>
      <rPr>
        <sz val="9"/>
        <rFont val="Arial MT"/>
        <family val="2"/>
      </rPr>
      <t>NEON FINANCEIRA - CFI S.A.</t>
    </r>
  </si>
  <si>
    <r>
      <rPr>
        <sz val="9"/>
        <rFont val="Arial MT"/>
        <family val="2"/>
      </rPr>
      <t>NEON FINANCEIRA - CRÉDITO, FINANCIAMENTO E INVESTIMENTO S.A.</t>
    </r>
  </si>
  <si>
    <r>
      <rPr>
        <sz val="9"/>
        <rFont val="Arial MT"/>
        <family val="2"/>
      </rPr>
      <t>BANCO RANDON S.A.</t>
    </r>
  </si>
  <si>
    <r>
      <rPr>
        <sz val="9"/>
        <rFont val="Arial MT"/>
        <family val="2"/>
      </rPr>
      <t>OM DTVM LTDA</t>
    </r>
  </si>
  <si>
    <r>
      <rPr>
        <sz val="9"/>
        <rFont val="Arial MT"/>
        <family val="2"/>
      </rPr>
      <t>OM DISTRIBUIDORA DE TÍTULOS E VALORES MOBILIÁRIOS LTDA</t>
    </r>
  </si>
  <si>
    <r>
      <rPr>
        <sz val="9"/>
        <rFont val="Arial MT"/>
        <family val="2"/>
      </rPr>
      <t>BMP SCMEPP LTDA</t>
    </r>
  </si>
  <si>
    <r>
      <rPr>
        <sz val="9"/>
        <rFont val="Arial MT"/>
        <family val="2"/>
      </rPr>
      <t>BMP SOCIEDADE DE CRÉDITO AO MICROEMPREENDEDOR E A EMPRESA DE PEQUENO PORTE LTDA.</t>
    </r>
  </si>
  <si>
    <r>
      <rPr>
        <sz val="9"/>
        <rFont val="Arial MT"/>
        <family val="2"/>
      </rPr>
      <t>TRAVELEX BANCO DE CÂMBIO S.A.</t>
    </r>
  </si>
  <si>
    <r>
      <rPr>
        <sz val="9"/>
        <rFont val="Arial MT"/>
        <family val="2"/>
      </rPr>
      <t>Travelex Banco de Câmbio S.A.</t>
    </r>
  </si>
  <si>
    <r>
      <rPr>
        <sz val="9"/>
        <rFont val="Arial MT"/>
        <family val="2"/>
      </rPr>
      <t>BANCO FINAXIS</t>
    </r>
  </si>
  <si>
    <r>
      <rPr>
        <sz val="9"/>
        <rFont val="Arial MT"/>
        <family val="2"/>
      </rPr>
      <t>Banco Finaxis S.A.</t>
    </r>
  </si>
  <si>
    <r>
      <rPr>
        <sz val="9"/>
        <rFont val="Arial MT"/>
        <family val="2"/>
      </rPr>
      <t>GAZINCRED S.A. SCFI</t>
    </r>
  </si>
  <si>
    <r>
      <rPr>
        <sz val="9"/>
        <rFont val="Arial MT"/>
        <family val="2"/>
      </rPr>
      <t>GAZINCRED S.A. SOCIEDADE DE CRÉDITO, FINANCIAMENTO E INVESTIMENTO</t>
    </r>
  </si>
  <si>
    <r>
      <rPr>
        <sz val="9"/>
        <rFont val="Arial MT"/>
        <family val="2"/>
      </rPr>
      <t>BCO SENFF S.A.</t>
    </r>
  </si>
  <si>
    <r>
      <rPr>
        <sz val="9"/>
        <rFont val="Arial MT"/>
        <family val="2"/>
      </rPr>
      <t>BANCO SENFF S.A.</t>
    </r>
  </si>
  <si>
    <r>
      <rPr>
        <sz val="9"/>
        <rFont val="Arial MT"/>
        <family val="2"/>
      </rPr>
      <t>MIRAE ASSET (BRASIL) CCTVM LTDA.</t>
    </r>
  </si>
  <si>
    <r>
      <rPr>
        <sz val="9"/>
        <rFont val="Arial MT"/>
        <family val="2"/>
      </rPr>
      <t>MIRAE ASSET (BRASIL) CORRETORA DE CÂMBIO, TÍTULOS  E VALORES MOBILIÁRIOS LTDA.</t>
    </r>
  </si>
  <si>
    <r>
      <rPr>
        <sz val="9"/>
        <rFont val="Arial MT"/>
        <family val="2"/>
      </rPr>
      <t>CONTA PRONTA IP</t>
    </r>
  </si>
  <si>
    <r>
      <rPr>
        <sz val="9"/>
        <rFont val="Arial MT"/>
        <family val="2"/>
      </rPr>
      <t>CONTA PRONTA INSTITUICAO DE PAGAMENTO LTDA</t>
    </r>
  </si>
  <si>
    <r>
      <rPr>
        <sz val="9"/>
        <rFont val="Arial MT"/>
        <family val="2"/>
      </rPr>
      <t>BCO DO EST. DE SE S.A.</t>
    </r>
  </si>
  <si>
    <r>
      <rPr>
        <sz val="9"/>
        <rFont val="Arial MT"/>
        <family val="2"/>
      </rPr>
      <t>Banco do Estado de Sergipe S.A.</t>
    </r>
  </si>
  <si>
    <r>
      <rPr>
        <sz val="9"/>
        <rFont val="Arial MT"/>
        <family val="2"/>
      </rPr>
      <t>BEXS BCO DE CAMBIO S.A.</t>
    </r>
  </si>
  <si>
    <r>
      <rPr>
        <sz val="9"/>
        <rFont val="Arial MT"/>
        <family val="2"/>
      </rPr>
      <t>BEXS BANCO DE CÂMBIO S/A</t>
    </r>
  </si>
  <si>
    <r>
      <rPr>
        <sz val="9"/>
        <rFont val="Arial MT"/>
        <family val="2"/>
      </rPr>
      <t>ACESSO SOLUÇÕES DE PAGAMENTO S.A. - INSTITUIÇÃO DE PAGAMENTO</t>
    </r>
  </si>
  <si>
    <r>
      <rPr>
        <sz val="9"/>
        <rFont val="Arial MT"/>
        <family val="2"/>
      </rPr>
      <t>FITBANK IP</t>
    </r>
  </si>
  <si>
    <r>
      <rPr>
        <sz val="9"/>
        <rFont val="Arial MT"/>
        <family val="2"/>
      </rPr>
      <t>FITBANK INSTITUIÇÃO DE PAGAMENTOS ELETRÔNICOS S.A.</t>
    </r>
  </si>
  <si>
    <r>
      <rPr>
        <sz val="9"/>
        <rFont val="Arial MT"/>
        <family val="2"/>
      </rPr>
      <t>BR PARTNERS BI</t>
    </r>
  </si>
  <si>
    <r>
      <rPr>
        <sz val="9"/>
        <rFont val="Arial MT"/>
        <family val="2"/>
      </rPr>
      <t>BR Partners Banco de Investimento S.A.</t>
    </r>
  </si>
  <si>
    <r>
      <rPr>
        <sz val="9"/>
        <rFont val="Arial MT"/>
        <family val="2"/>
      </rPr>
      <t>ÓRAMA DTVM S.A.</t>
    </r>
  </si>
  <si>
    <r>
      <rPr>
        <sz val="9"/>
        <rFont val="Arial MT"/>
        <family val="2"/>
      </rPr>
      <t>Órama Distribuidora de Títulos e Valores Mobiliários S.A.</t>
    </r>
  </si>
  <si>
    <r>
      <rPr>
        <sz val="9"/>
        <rFont val="Arial MT"/>
        <family val="2"/>
      </rPr>
      <t>DOCK IP S.A.</t>
    </r>
  </si>
  <si>
    <r>
      <rPr>
        <sz val="9"/>
        <rFont val="Arial MT"/>
        <family val="2"/>
      </rPr>
      <t>DOCK INSTITUIÇÃO DE PAGAMENTO S.A.</t>
    </r>
  </si>
  <si>
    <r>
      <rPr>
        <sz val="9"/>
        <rFont val="Arial MT"/>
        <family val="2"/>
      </rPr>
      <t>BRL TRUST DTVM SA</t>
    </r>
  </si>
  <si>
    <r>
      <rPr>
        <sz val="9"/>
        <rFont val="Arial MT"/>
        <family val="2"/>
      </rPr>
      <t>BRL Trust Distribuidora de Títulos e Valores Mobiliários S.A.</t>
    </r>
  </si>
  <si>
    <r>
      <rPr>
        <sz val="9"/>
        <rFont val="Arial MT"/>
        <family val="2"/>
      </rPr>
      <t>FRAM CAPITAL DTVM S.A.</t>
    </r>
  </si>
  <si>
    <r>
      <rPr>
        <sz val="9"/>
        <rFont val="Arial MT"/>
        <family val="2"/>
      </rPr>
      <t>Fram Capital Distribuidora de Títulos e Valores Mobiliários S.A.</t>
    </r>
  </si>
  <si>
    <r>
      <rPr>
        <sz val="9"/>
        <rFont val="Arial MT"/>
        <family val="2"/>
      </rPr>
      <t>BCO WESTERN UNION</t>
    </r>
  </si>
  <si>
    <r>
      <rPr>
        <sz val="9"/>
        <rFont val="Arial MT"/>
        <family val="2"/>
      </rPr>
      <t>Banco Western Union do Brasil S.A.</t>
    </r>
  </si>
  <si>
    <r>
      <rPr>
        <sz val="9"/>
        <rFont val="Arial MT"/>
        <family val="2"/>
      </rPr>
      <t>HUB IP S.A.</t>
    </r>
  </si>
  <si>
    <r>
      <rPr>
        <sz val="9"/>
        <rFont val="Arial MT"/>
        <family val="2"/>
      </rPr>
      <t>HUB INSTITUIÇÃO DE PAGAMENTO S.A.</t>
    </r>
  </si>
  <si>
    <r>
      <rPr>
        <sz val="9"/>
        <rFont val="Arial MT"/>
        <family val="2"/>
      </rPr>
      <t>CELCOIN IP S.A.</t>
    </r>
  </si>
  <si>
    <r>
      <rPr>
        <sz val="9"/>
        <rFont val="Arial MT"/>
        <family val="2"/>
      </rPr>
      <t>CELCOIN INSTITUICAO DE PAGAMENTO S.A.</t>
    </r>
  </si>
  <si>
    <r>
      <rPr>
        <sz val="9"/>
        <rFont val="Arial MT"/>
        <family val="2"/>
      </rPr>
      <t>CAMBIONET CC LTDA</t>
    </r>
  </si>
  <si>
    <r>
      <rPr>
        <sz val="9"/>
        <rFont val="Arial MT"/>
        <family val="2"/>
      </rPr>
      <t>CAMBIONET CORRETORA DE CÂMBIO LTDA.</t>
    </r>
  </si>
  <si>
    <r>
      <rPr>
        <sz val="9"/>
        <rFont val="Arial MT"/>
        <family val="2"/>
      </rPr>
      <t>PARANA BCO S.A.</t>
    </r>
  </si>
  <si>
    <r>
      <rPr>
        <sz val="9"/>
        <rFont val="Arial MT"/>
        <family val="2"/>
      </rPr>
      <t>PARANÁ BANCO S.A.</t>
    </r>
  </si>
  <si>
    <r>
      <rPr>
        <sz val="9"/>
        <rFont val="Arial MT"/>
        <family val="2"/>
      </rPr>
      <t>BARI CIA HIPOTECÁRIA</t>
    </r>
  </si>
  <si>
    <r>
      <rPr>
        <sz val="9"/>
        <rFont val="Arial MT"/>
        <family val="2"/>
      </rPr>
      <t>BARI COMPANHIA HIPOTECÁRIA</t>
    </r>
  </si>
  <si>
    <r>
      <rPr>
        <sz val="9"/>
        <rFont val="Arial MT"/>
        <family val="2"/>
      </rPr>
      <t>IUGU IP S.A.</t>
    </r>
  </si>
  <si>
    <r>
      <rPr>
        <sz val="9"/>
        <rFont val="Arial MT"/>
        <family val="2"/>
      </rPr>
      <t>IUGU INSTITUIÇÃO DE PAGAMENTO S.A.</t>
    </r>
  </si>
  <si>
    <r>
      <rPr>
        <sz val="9"/>
        <rFont val="Arial MT"/>
        <family val="2"/>
      </rPr>
      <t>BCO BOCOM BBM S.A.</t>
    </r>
  </si>
  <si>
    <r>
      <rPr>
        <sz val="9"/>
        <rFont val="Arial MT"/>
        <family val="2"/>
      </rPr>
      <t>Banco Bocom BBM S.A.</t>
    </r>
  </si>
  <si>
    <r>
      <rPr>
        <sz val="9"/>
        <rFont val="Arial MT"/>
        <family val="2"/>
      </rPr>
      <t>BANCO BESA S.A.</t>
    </r>
  </si>
  <si>
    <r>
      <rPr>
        <sz val="9"/>
        <rFont val="Arial MT"/>
        <family val="2"/>
      </rPr>
      <t>SOCIAL BANK S/A</t>
    </r>
  </si>
  <si>
    <r>
      <rPr>
        <sz val="9"/>
        <rFont val="Arial MT"/>
        <family val="2"/>
      </rPr>
      <t>SOCIAL BANK BANCO MÚLTIPLO S/A</t>
    </r>
  </si>
  <si>
    <r>
      <rPr>
        <sz val="9"/>
        <rFont val="Arial MT"/>
        <family val="2"/>
      </rPr>
      <t>BCO WOORI BANK DO BRASIL S.A.</t>
    </r>
  </si>
  <si>
    <r>
      <rPr>
        <sz val="9"/>
        <rFont val="Arial MT"/>
        <family val="2"/>
      </rPr>
      <t>Banco Woori Bank do Brasil S.A.</t>
    </r>
  </si>
  <si>
    <r>
      <rPr>
        <sz val="9"/>
        <rFont val="Arial MT"/>
        <family val="2"/>
      </rPr>
      <t>INTRA DTVM</t>
    </r>
  </si>
  <si>
    <r>
      <rPr>
        <sz val="9"/>
        <rFont val="Arial MT"/>
        <family val="2"/>
      </rPr>
      <t>INTRA INVESTIMENTOS DISTRIBUIDORA DE TÍTULOS E VALORES MOBILIÁRIOS LTDA</t>
    </r>
  </si>
  <si>
    <r>
      <rPr>
        <sz val="9"/>
        <rFont val="Arial MT"/>
        <family val="2"/>
      </rPr>
      <t>FACTA S.A. CFI</t>
    </r>
  </si>
  <si>
    <r>
      <rPr>
        <sz val="9"/>
        <rFont val="Arial MT"/>
        <family val="2"/>
      </rPr>
      <t>Facta Financeira S.A. - Crédito Financiamento e Investimento</t>
    </r>
  </si>
  <si>
    <r>
      <rPr>
        <sz val="9"/>
        <rFont val="Arial MT"/>
        <family val="2"/>
      </rPr>
      <t>STONE IP S.A.</t>
    </r>
  </si>
  <si>
    <r>
      <rPr>
        <sz val="9"/>
        <rFont val="Arial MT"/>
        <family val="2"/>
      </rPr>
      <t>STONE INSTITUIÇÃO DE PAGAMENTO S.A.</t>
    </r>
  </si>
  <si>
    <r>
      <rPr>
        <sz val="9"/>
        <rFont val="Arial MT"/>
        <family val="2"/>
      </rPr>
      <t>ID CTVM</t>
    </r>
  </si>
  <si>
    <r>
      <rPr>
        <sz val="9"/>
        <rFont val="Arial MT"/>
        <family val="2"/>
      </rPr>
      <t>ID CORRETORA DE TÍTULOS E VALORES MOBILIÁRIOS S.A.</t>
    </r>
  </si>
  <si>
    <r>
      <rPr>
        <sz val="9"/>
        <rFont val="Arial MT"/>
        <family val="2"/>
      </rPr>
      <t>BROKER BRASIL CC LTDA.</t>
    </r>
  </si>
  <si>
    <r>
      <rPr>
        <sz val="9"/>
        <rFont val="Arial MT"/>
        <family val="2"/>
      </rPr>
      <t>Broker Brasil Corretora de Câmbio Ltda.</t>
    </r>
  </si>
  <si>
    <r>
      <rPr>
        <sz val="9"/>
        <rFont val="Arial MT"/>
        <family val="2"/>
      </rPr>
      <t>PINBANK IP</t>
    </r>
  </si>
  <si>
    <r>
      <rPr>
        <sz val="9"/>
        <rFont val="Arial MT"/>
        <family val="2"/>
      </rPr>
      <t>PINBANK BRASIL INSTITUIÇÃO DE PAGAMENTO S.A.</t>
    </r>
  </si>
  <si>
    <r>
      <rPr>
        <sz val="9"/>
        <rFont val="Arial MT"/>
        <family val="2"/>
      </rPr>
      <t>BCO MERCANTIL DO BRASIL S.A.</t>
    </r>
  </si>
  <si>
    <r>
      <rPr>
        <sz val="9"/>
        <rFont val="Arial MT"/>
        <family val="2"/>
      </rPr>
      <t>Banco Mercantil do Brasil S.A.</t>
    </r>
  </si>
  <si>
    <r>
      <rPr>
        <sz val="9"/>
        <rFont val="Arial MT"/>
        <family val="2"/>
      </rPr>
      <t>BCO ITAÚ BBA S.A.</t>
    </r>
  </si>
  <si>
    <r>
      <rPr>
        <sz val="9"/>
        <rFont val="Arial MT"/>
        <family val="2"/>
      </rPr>
      <t>Banco Itaú BBA S.A.</t>
    </r>
  </si>
  <si>
    <r>
      <rPr>
        <sz val="9"/>
        <rFont val="Arial MT"/>
        <family val="2"/>
      </rPr>
      <t>BCO TRIANGULO S.A.</t>
    </r>
  </si>
  <si>
    <r>
      <rPr>
        <sz val="9"/>
        <rFont val="Arial MT"/>
        <family val="2"/>
      </rPr>
      <t>BANCO TRIANGULO S.A.</t>
    </r>
  </si>
  <si>
    <r>
      <rPr>
        <sz val="9"/>
        <rFont val="Arial MT"/>
        <family val="2"/>
      </rPr>
      <t>SENSO CCVM S.A.</t>
    </r>
  </si>
  <si>
    <r>
      <rPr>
        <sz val="9"/>
        <rFont val="Arial MT"/>
        <family val="2"/>
      </rPr>
      <t>SENSO CORRETORA DE CAMBIO E VALORES MOBILIARIOS S.A</t>
    </r>
  </si>
  <si>
    <r>
      <rPr>
        <sz val="9"/>
        <rFont val="Arial MT"/>
        <family val="2"/>
      </rPr>
      <t>ICBC DO BRASIL BM S.A.</t>
    </r>
  </si>
  <si>
    <r>
      <rPr>
        <sz val="9"/>
        <rFont val="Arial MT"/>
        <family val="2"/>
      </rPr>
      <t>ICBC do Brasil Banco Múltiplo S.A.</t>
    </r>
  </si>
  <si>
    <r>
      <rPr>
        <sz val="9"/>
        <rFont val="Arial MT"/>
        <family val="2"/>
      </rPr>
      <t>VIPS CC LTDA.</t>
    </r>
  </si>
  <si>
    <r>
      <rPr>
        <sz val="9"/>
        <rFont val="Arial MT"/>
        <family val="2"/>
      </rPr>
      <t>Vip's Corretora de Câmbio Ltda.</t>
    </r>
  </si>
  <si>
    <r>
      <rPr>
        <sz val="9"/>
        <rFont val="Arial MT"/>
        <family val="2"/>
      </rPr>
      <t>BMS SCD S.A.</t>
    </r>
  </si>
  <si>
    <r>
      <rPr>
        <sz val="9"/>
        <rFont val="Arial MT"/>
        <family val="2"/>
      </rPr>
      <t>BMS SOCIEDADE DE CRÉDITO DIRETO S.A.</t>
    </r>
  </si>
  <si>
    <r>
      <rPr>
        <sz val="9"/>
        <rFont val="Arial MT"/>
        <family val="2"/>
      </rPr>
      <t>CREFAZ SCMEPP LTDA</t>
    </r>
  </si>
  <si>
    <r>
      <rPr>
        <sz val="9"/>
        <rFont val="Arial MT"/>
        <family val="2"/>
      </rPr>
      <t>CREFAZ SOCIEDADE DE CRÉDITO AO MICROEMPREENDEDOR E A EMPRESA DE PEQUENO PORTE LTDA.</t>
    </r>
  </si>
  <si>
    <r>
      <rPr>
        <sz val="9"/>
        <rFont val="Arial MT"/>
        <family val="2"/>
      </rPr>
      <t>CLOUDWALK IP LTDA</t>
    </r>
  </si>
  <si>
    <r>
      <rPr>
        <sz val="9"/>
        <rFont val="Arial MT"/>
        <family val="2"/>
      </rPr>
      <t>CLOUDWALK INSTITUIÇÃO DE PAGAMENTO E SERVICOS LTDA</t>
    </r>
  </si>
  <si>
    <r>
      <rPr>
        <sz val="9"/>
        <rFont val="Arial MT"/>
        <family val="2"/>
      </rPr>
      <t>NU PAGAMENTOS - IP</t>
    </r>
  </si>
  <si>
    <r>
      <rPr>
        <sz val="9"/>
        <rFont val="Arial MT"/>
        <family val="2"/>
      </rPr>
      <t>NU PAGAMENTOS S.A. - INSTITUIÇÃO DE PAGAMENTO</t>
    </r>
  </si>
  <si>
    <r>
      <rPr>
        <sz val="9"/>
        <rFont val="Arial MT"/>
        <family val="2"/>
      </rPr>
      <t>CDC SCD S.A.</t>
    </r>
  </si>
  <si>
    <r>
      <rPr>
        <sz val="9"/>
        <rFont val="Arial MT"/>
        <family val="2"/>
      </rPr>
      <t>CDC SOCIEDADE DE CRÉDITO DIRETO S.A.</t>
    </r>
  </si>
  <si>
    <r>
      <rPr>
        <sz val="9"/>
        <rFont val="Arial MT"/>
        <family val="2"/>
      </rPr>
      <t>UBS BRASIL BI S.A.</t>
    </r>
  </si>
  <si>
    <r>
      <rPr>
        <sz val="9"/>
        <rFont val="Arial MT"/>
        <family val="2"/>
      </rPr>
      <t>UBS Brasil Banco de Investimento S.A.</t>
    </r>
  </si>
  <si>
    <r>
      <rPr>
        <sz val="9"/>
        <rFont val="Arial MT"/>
        <family val="2"/>
      </rPr>
      <t>AZIMUT BRASIL DISTRIBUIDORA DE TÍTULOS E VALORES MOBILIÁRIOS</t>
    </r>
  </si>
  <si>
    <r>
      <rPr>
        <sz val="9"/>
        <rFont val="Arial MT"/>
        <family val="2"/>
      </rPr>
      <t>AZIMUT BRASIL DISTRIBUIDORA DE TÍTULOS E VALORES MOBILIÁRIOS LTDA</t>
    </r>
  </si>
  <si>
    <r>
      <rPr>
        <sz val="9"/>
        <rFont val="Arial MT"/>
        <family val="2"/>
      </rPr>
      <t>BRAZA BANK S.A. BCO DE CÂMBIO</t>
    </r>
  </si>
  <si>
    <r>
      <rPr>
        <sz val="9"/>
        <rFont val="Arial MT"/>
        <family val="2"/>
      </rPr>
      <t>BRAZA BANK S.A. BANCO DE CÂMBIO</t>
    </r>
  </si>
  <si>
    <r>
      <rPr>
        <sz val="9"/>
        <rFont val="Arial MT"/>
        <family val="2"/>
      </rPr>
      <t>LAMARA SCD S.A.</t>
    </r>
  </si>
  <si>
    <r>
      <rPr>
        <sz val="9"/>
        <rFont val="Arial MT"/>
        <family val="2"/>
      </rPr>
      <t>LAMARA SOCIEDADE DE CRÉDITO DIRETO S.A.</t>
    </r>
  </si>
  <si>
    <r>
      <rPr>
        <sz val="9"/>
        <rFont val="Arial MT"/>
        <family val="2"/>
      </rPr>
      <t>ASAAS IP S.A.</t>
    </r>
  </si>
  <si>
    <r>
      <rPr>
        <sz val="9"/>
        <rFont val="Arial MT"/>
        <family val="2"/>
      </rPr>
      <t>ASAAS GESTÃO FINANCEIRA INSTITUIÇÃO DE PAGAMENTO S.A.</t>
    </r>
  </si>
  <si>
    <r>
      <rPr>
        <sz val="9"/>
        <rFont val="Arial MT"/>
        <family val="2"/>
      </rPr>
      <t>UNIDA DTVM LTDA</t>
    </r>
  </si>
  <si>
    <r>
      <rPr>
        <sz val="9"/>
        <rFont val="Arial MT"/>
        <family val="2"/>
      </rPr>
      <t>UNIDA DISTRIBUIDORA DE TÍTULOS E VALORES MOBILIÁRIOS LTDA.</t>
    </r>
  </si>
  <si>
    <r>
      <rPr>
        <sz val="9"/>
        <rFont val="Arial MT"/>
        <family val="2"/>
      </rPr>
      <t>SUDACRED SCMEPP LTDA</t>
    </r>
  </si>
  <si>
    <r>
      <rPr>
        <sz val="9"/>
        <rFont val="Arial MT"/>
        <family val="2"/>
      </rPr>
      <t>SUDACRED - SOCIEDADE DE CRÉDITO AO MICROEMPREENDEDOR E À EMPRESA DE PEQUENO PORTE LTDA.</t>
    </r>
  </si>
  <si>
    <r>
      <rPr>
        <sz val="9"/>
        <rFont val="Arial MT"/>
        <family val="2"/>
      </rPr>
      <t>PAY4FUN IP S.A.</t>
    </r>
  </si>
  <si>
    <r>
      <rPr>
        <sz val="9"/>
        <rFont val="Arial MT"/>
        <family val="2"/>
      </rPr>
      <t>PAY4FUN INSTITUICAO DE PAGAMENTO S.A.</t>
    </r>
  </si>
  <si>
    <r>
      <rPr>
        <sz val="9"/>
        <rFont val="Arial MT"/>
        <family val="2"/>
      </rPr>
      <t>NEON PAGAMENTOS S.A. IP</t>
    </r>
  </si>
  <si>
    <r>
      <rPr>
        <sz val="9"/>
        <rFont val="Arial MT"/>
        <family val="2"/>
      </rPr>
      <t>NEON PAGAMENTOS S.A. - INSTITUIÇÃO DE PAGAMENTO</t>
    </r>
  </si>
  <si>
    <r>
      <rPr>
        <sz val="9"/>
        <rFont val="Arial MT"/>
        <family val="2"/>
      </rPr>
      <t>EBANX IP LTDA.</t>
    </r>
  </si>
  <si>
    <r>
      <rPr>
        <sz val="9"/>
        <rFont val="Arial MT"/>
        <family val="2"/>
      </rPr>
      <t>EBANX INSTITUICAO DE PAGAMENTOS LTDA.</t>
    </r>
  </si>
  <si>
    <r>
      <rPr>
        <sz val="9"/>
        <rFont val="Arial MT"/>
        <family val="2"/>
      </rPr>
      <t>CARTOS SCD S.A.</t>
    </r>
  </si>
  <si>
    <r>
      <rPr>
        <sz val="9"/>
        <rFont val="Arial MT"/>
        <family val="2"/>
      </rPr>
      <t>CARTOS SOCIEDADE DE CRÉDITO DIRETO S.A.</t>
    </r>
  </si>
  <si>
    <r>
      <rPr>
        <sz val="9"/>
        <rFont val="Arial MT"/>
        <family val="2"/>
      </rPr>
      <t>MAG IP LTDA.</t>
    </r>
  </si>
  <si>
    <r>
      <rPr>
        <sz val="9"/>
        <rFont val="Arial MT"/>
        <family val="2"/>
      </rPr>
      <t>MAG INSTITUICAO DE PAGAMENTO LTDA</t>
    </r>
  </si>
  <si>
    <r>
      <rPr>
        <sz val="9"/>
        <rFont val="Arial MT"/>
        <family val="2"/>
      </rPr>
      <t>M18 IP S.A.</t>
    </r>
  </si>
  <si>
    <r>
      <rPr>
        <sz val="9"/>
        <rFont val="Arial MT"/>
        <family val="2"/>
      </rPr>
      <t>M18 INSTITUIÇÃO DE PAGAMENTO S.A.</t>
    </r>
  </si>
  <si>
    <r>
      <rPr>
        <sz val="9"/>
        <rFont val="Arial MT"/>
        <family val="2"/>
      </rPr>
      <t>VORTX DTVM LTDA.</t>
    </r>
  </si>
  <si>
    <r>
      <rPr>
        <sz val="9"/>
        <rFont val="Arial MT"/>
        <family val="2"/>
      </rPr>
      <t>VORTX DISTRIBUIDORA DE TITULOS E VALORES MOBILIARIOS LTDA.</t>
    </r>
  </si>
  <si>
    <r>
      <rPr>
        <sz val="9"/>
        <rFont val="Arial MT"/>
        <family val="2"/>
      </rPr>
      <t>PICPAY</t>
    </r>
  </si>
  <si>
    <r>
      <rPr>
        <sz val="9"/>
        <rFont val="Arial MT"/>
        <family val="2"/>
      </rPr>
      <t>PICPAY INSTITUIçãO DE PAGAMENTO S.A.</t>
    </r>
  </si>
  <si>
    <r>
      <rPr>
        <sz val="9"/>
        <rFont val="Arial MT"/>
        <family val="2"/>
      </rPr>
      <t>FLAGSHIP IP LTDA</t>
    </r>
  </si>
  <si>
    <r>
      <rPr>
        <sz val="9"/>
        <rFont val="Arial MT"/>
        <family val="2"/>
      </rPr>
      <t>FLAGSHIP INSTITUICAO DE PAGAMENTOS LTDA</t>
    </r>
  </si>
  <si>
    <r>
      <rPr>
        <sz val="9"/>
        <rFont val="Arial MT"/>
        <family val="2"/>
      </rPr>
      <t>WILL FINANCEIRA S.A.CFI</t>
    </r>
  </si>
  <si>
    <r>
      <rPr>
        <sz val="9"/>
        <rFont val="Arial MT"/>
        <family val="2"/>
      </rPr>
      <t>WILL FINANCEIRA S.A. CRÉDITO, FINANCIAMENTO E INVESTIMENTO</t>
    </r>
  </si>
  <si>
    <r>
      <rPr>
        <sz val="9"/>
        <rFont val="Arial MT"/>
        <family val="2"/>
      </rPr>
      <t>GUITTA CC LTDA</t>
    </r>
  </si>
  <si>
    <r>
      <rPr>
        <sz val="9"/>
        <rFont val="Arial MT"/>
        <family val="2"/>
      </rPr>
      <t>GUITTA CORRETORA DE CAMBIO LTDA.</t>
    </r>
  </si>
  <si>
    <r>
      <rPr>
        <sz val="9"/>
        <rFont val="Arial MT"/>
        <family val="2"/>
      </rPr>
      <t>FFA SCMEPP LTDA.</t>
    </r>
  </si>
  <si>
    <r>
      <rPr>
        <sz val="9"/>
        <rFont val="Arial MT"/>
        <family val="2"/>
      </rPr>
      <t>FFA SOCIEDADE DE CRÉDITO AO MICROEMPREENDEDOR E À EMPRESA DE PEQUENO PORTE LTDA.</t>
    </r>
  </si>
  <si>
    <r>
      <rPr>
        <sz val="9"/>
        <rFont val="Arial MT"/>
        <family val="2"/>
      </rPr>
      <t>COOP DE PRIMAVERA DO LESTE</t>
    </r>
  </si>
  <si>
    <r>
      <rPr>
        <sz val="9"/>
        <rFont val="Arial MT"/>
        <family val="2"/>
      </rPr>
      <t>PRIMACREDI COOPERATIVA DE CRÉDITO DE PRIMAVERA DO LESTE</t>
    </r>
  </si>
  <si>
    <r>
      <rPr>
        <sz val="9"/>
        <rFont val="Arial MT"/>
        <family val="2"/>
      </rPr>
      <t>BANCO DIGIO</t>
    </r>
  </si>
  <si>
    <r>
      <rPr>
        <sz val="9"/>
        <rFont val="Arial MT"/>
        <family val="2"/>
      </rPr>
      <t>Banco Digio S.A.</t>
    </r>
  </si>
  <si>
    <r>
      <rPr>
        <sz val="9"/>
        <rFont val="Arial MT"/>
        <family val="2"/>
      </rPr>
      <t>AL5 S.A. CFI</t>
    </r>
  </si>
  <si>
    <r>
      <rPr>
        <sz val="9"/>
        <rFont val="Arial MT"/>
        <family val="2"/>
      </rPr>
      <t>AL5 S.A. CRÉDITO, FINANCIAMENTO E INVESTIMENTO</t>
    </r>
  </si>
  <si>
    <r>
      <rPr>
        <sz val="9"/>
        <rFont val="Arial MT"/>
        <family val="2"/>
      </rPr>
      <t>CRED-UFES</t>
    </r>
  </si>
  <si>
    <r>
      <rPr>
        <sz val="9"/>
        <rFont val="Arial MT"/>
        <family val="2"/>
      </rPr>
      <t>COOPERATIVA DE CREDITO DOS SERVIDORES DA UNIVERSIDADE FEDERAL DO ESPIRITO SANTO</t>
    </r>
  </si>
  <si>
    <r>
      <rPr>
        <sz val="9"/>
        <rFont val="Arial MT"/>
        <family val="2"/>
      </rPr>
      <t>REALIZE CFI S.A.</t>
    </r>
  </si>
  <si>
    <r>
      <rPr>
        <sz val="9"/>
        <rFont val="Arial MT"/>
        <family val="2"/>
      </rPr>
      <t>REALIZE CRÉDITO, FINANCIAMENTO E INVESTIMENTO S.A.</t>
    </r>
  </si>
  <si>
    <r>
      <rPr>
        <sz val="9"/>
        <rFont val="Arial MT"/>
        <family val="2"/>
      </rPr>
      <t>GENIAL INVESTIMENTOS CVM S.A.</t>
    </r>
  </si>
  <si>
    <r>
      <rPr>
        <sz val="9"/>
        <rFont val="Arial MT"/>
        <family val="2"/>
      </rPr>
      <t>Genial Investimentos Corretora de Valores Mobiliários S.A.</t>
    </r>
  </si>
  <si>
    <r>
      <rPr>
        <sz val="9"/>
        <rFont val="Arial MT"/>
        <family val="2"/>
      </rPr>
      <t>IB CCTVM S.A.</t>
    </r>
  </si>
  <si>
    <r>
      <rPr>
        <sz val="9"/>
        <rFont val="Arial MT"/>
        <family val="2"/>
      </rPr>
      <t>IB Corretora de Câmbio, Títulos e Valores Mobiliários S.A.</t>
    </r>
  </si>
  <si>
    <r>
      <rPr>
        <sz val="9"/>
        <rFont val="Arial MT"/>
        <family val="2"/>
      </rPr>
      <t>BCO BANESTES S.A.</t>
    </r>
  </si>
  <si>
    <r>
      <rPr>
        <sz val="9"/>
        <rFont val="Arial MT"/>
        <family val="2"/>
      </rPr>
      <t>BANESTES S.A. BANCO DO ESTADO DO ESPIRITO SANTO</t>
    </r>
  </si>
  <si>
    <r>
      <rPr>
        <sz val="9"/>
        <rFont val="Arial MT"/>
        <family val="2"/>
      </rPr>
      <t>BCO ABC BRASIL S.A.</t>
    </r>
  </si>
  <si>
    <r>
      <rPr>
        <sz val="9"/>
        <rFont val="Arial MT"/>
        <family val="2"/>
      </rPr>
      <t>Banco ABC Brasil S.A.</t>
    </r>
  </si>
  <si>
    <r>
      <rPr>
        <sz val="9"/>
        <rFont val="Arial MT"/>
        <family val="2"/>
      </rPr>
      <t>GALAPAGOS DTVM S.A.</t>
    </r>
  </si>
  <si>
    <r>
      <rPr>
        <sz val="9"/>
        <rFont val="Arial MT"/>
        <family val="2"/>
      </rPr>
      <t>GALAPAGOS CAPITAL DISTRIBUIDORA DE TÍTULOS E VALORES MOBILIÁRIOS S.A.</t>
    </r>
  </si>
  <si>
    <r>
      <rPr>
        <sz val="9"/>
        <rFont val="Arial MT"/>
        <family val="2"/>
      </rPr>
      <t>Balcão B3</t>
    </r>
  </si>
  <si>
    <r>
      <rPr>
        <sz val="9"/>
        <rFont val="Arial MT"/>
        <family val="2"/>
      </rPr>
      <t>Sistema do Balcão B3</t>
    </r>
  </si>
  <si>
    <r>
      <rPr>
        <sz val="9"/>
        <rFont val="Arial MT"/>
        <family val="2"/>
      </rPr>
      <t>STONEX BANCO DE CÂMBIO S.A.</t>
    </r>
  </si>
  <si>
    <r>
      <rPr>
        <sz val="9"/>
        <rFont val="Arial MT"/>
        <family val="2"/>
      </rPr>
      <t>CIP SA C3</t>
    </r>
  </si>
  <si>
    <r>
      <rPr>
        <sz val="9"/>
        <rFont val="Arial MT"/>
        <family val="2"/>
      </rPr>
      <t>Scotiabank Brasil</t>
    </r>
  </si>
  <si>
    <r>
      <rPr>
        <sz val="9"/>
        <rFont val="Arial MT"/>
        <family val="2"/>
      </rPr>
      <t>Scotiabank Brasil S.A. Banco Múltiplo</t>
    </r>
  </si>
  <si>
    <r>
      <rPr>
        <sz val="9"/>
        <rFont val="Arial MT"/>
        <family val="2"/>
      </rPr>
      <t>TORO CTVM S.A.</t>
    </r>
  </si>
  <si>
    <r>
      <rPr>
        <sz val="9"/>
        <rFont val="Arial MT"/>
        <family val="2"/>
      </rPr>
      <t>TORO CORRETORA DE TÍTULOS E VALORES MOBILIÁRIOS S.A.</t>
    </r>
  </si>
  <si>
    <r>
      <rPr>
        <sz val="9"/>
        <rFont val="Arial MT"/>
        <family val="2"/>
      </rPr>
      <t>BANCO BTG PACTUAL S.A.</t>
    </r>
  </si>
  <si>
    <r>
      <rPr>
        <sz val="9"/>
        <rFont val="Arial MT"/>
        <family val="2"/>
      </rPr>
      <t>Banco BTG Pactual S.A.</t>
    </r>
  </si>
  <si>
    <r>
      <rPr>
        <sz val="9"/>
        <rFont val="Arial MT"/>
        <family val="2"/>
      </rPr>
      <t>NU FINANCEIRA S.A. CFI</t>
    </r>
  </si>
  <si>
    <r>
      <rPr>
        <sz val="9"/>
        <rFont val="Arial MT"/>
        <family val="2"/>
      </rPr>
      <t>NU FINANCEIRA S.A. - Sociedade de Crédito, Financiamento e Investimento</t>
    </r>
  </si>
  <si>
    <r>
      <rPr>
        <sz val="9"/>
        <rFont val="Arial MT"/>
        <family val="2"/>
      </rPr>
      <t>BCO MODAL S.A.</t>
    </r>
  </si>
  <si>
    <r>
      <rPr>
        <sz val="9"/>
        <rFont val="Arial MT"/>
        <family val="2"/>
      </rPr>
      <t>Banco Modal S.A.</t>
    </r>
  </si>
  <si>
    <r>
      <rPr>
        <sz val="9"/>
        <rFont val="Arial MT"/>
        <family val="2"/>
      </rPr>
      <t>PAGPRIME IP</t>
    </r>
  </si>
  <si>
    <r>
      <rPr>
        <sz val="9"/>
        <rFont val="Arial MT"/>
        <family val="2"/>
      </rPr>
      <t>PAGPRIME INSTITUICAO DE PAGAMENTO LTDA</t>
    </r>
  </si>
  <si>
    <r>
      <rPr>
        <sz val="9"/>
        <rFont val="Arial MT"/>
        <family val="2"/>
      </rPr>
      <t>U4C INSTITUIÇÃO DE PAGAMENTO S.A.</t>
    </r>
  </si>
  <si>
    <r>
      <rPr>
        <sz val="9"/>
        <rFont val="Arial MT"/>
        <family val="2"/>
      </rPr>
      <t>BCO CLASSICO S.A.</t>
    </r>
  </si>
  <si>
    <r>
      <rPr>
        <sz val="9"/>
        <rFont val="Arial MT"/>
        <family val="2"/>
      </rPr>
      <t>BANCO CLASSICO S.A.</t>
    </r>
  </si>
  <si>
    <r>
      <rPr>
        <sz val="9"/>
        <rFont val="Arial MT"/>
        <family val="2"/>
      </rPr>
      <t>IDEAL CTVM S.A.</t>
    </r>
  </si>
  <si>
    <r>
      <rPr>
        <sz val="9"/>
        <rFont val="Arial MT"/>
        <family val="2"/>
      </rPr>
      <t>IDEAL CORRETORA DE TÍTULOS E VALORES MOBILIÁRIOS S.A.</t>
    </r>
  </si>
  <si>
    <r>
      <rPr>
        <sz val="9"/>
        <rFont val="Arial MT"/>
        <family val="2"/>
      </rPr>
      <t>BCO C6 S.A.</t>
    </r>
  </si>
  <si>
    <r>
      <rPr>
        <sz val="9"/>
        <rFont val="Arial MT"/>
        <family val="2"/>
      </rPr>
      <t>Banco C6 S.A.</t>
    </r>
  </si>
  <si>
    <r>
      <rPr>
        <sz val="9"/>
        <rFont val="Arial MT"/>
        <family val="2"/>
      </rPr>
      <t>BCO GUANABARA S.A.</t>
    </r>
  </si>
  <si>
    <r>
      <rPr>
        <sz val="9"/>
        <rFont val="Arial MT"/>
        <family val="2"/>
      </rPr>
      <t>Banco Guanabara S.A.</t>
    </r>
  </si>
  <si>
    <r>
      <rPr>
        <sz val="9"/>
        <rFont val="Arial MT"/>
        <family val="2"/>
      </rPr>
      <t>BCO INDUSTRIAL DO BRASIL S.A.</t>
    </r>
  </si>
  <si>
    <r>
      <rPr>
        <sz val="9"/>
        <rFont val="Arial MT"/>
        <family val="2"/>
      </rPr>
      <t>Banco Industrial do Brasil S.A.</t>
    </r>
  </si>
  <si>
    <r>
      <rPr>
        <sz val="9"/>
        <rFont val="Arial MT"/>
        <family val="2"/>
      </rPr>
      <t>BCO CREDIT SUISSE S.A.</t>
    </r>
  </si>
  <si>
    <r>
      <rPr>
        <sz val="9"/>
        <rFont val="Arial MT"/>
        <family val="2"/>
      </rPr>
      <t>Banco Credit Suisse (Brasil) S.A.</t>
    </r>
  </si>
  <si>
    <r>
      <rPr>
        <sz val="9"/>
        <rFont val="Arial MT"/>
        <family val="2"/>
      </rPr>
      <t>BEETELLER</t>
    </r>
  </si>
  <si>
    <r>
      <rPr>
        <sz val="9"/>
        <rFont val="Arial MT"/>
        <family val="2"/>
      </rPr>
      <t>BEETELLER INSTITUIÇÃO DE PAGAMENTO LTDA.</t>
    </r>
  </si>
  <si>
    <r>
      <rPr>
        <sz val="9"/>
        <rFont val="Arial MT"/>
        <family val="2"/>
      </rPr>
      <t>UZZIPAY IP S.A.</t>
    </r>
  </si>
  <si>
    <r>
      <rPr>
        <sz val="9"/>
        <rFont val="Arial MT"/>
        <family val="2"/>
      </rPr>
      <t>UZZIPAY INSTITUIÇÃO DE PAGAMENTO S.A.</t>
    </r>
  </si>
  <si>
    <r>
      <rPr>
        <sz val="9"/>
        <rFont val="Arial MT"/>
        <family val="2"/>
      </rPr>
      <t>QI SCD S.A.</t>
    </r>
  </si>
  <si>
    <r>
      <rPr>
        <sz val="9"/>
        <rFont val="Arial MT"/>
        <family val="2"/>
      </rPr>
      <t>QI Sociedade de Crédito Direto S.A.</t>
    </r>
  </si>
  <si>
    <r>
      <rPr>
        <sz val="9"/>
        <rFont val="Arial MT"/>
        <family val="2"/>
      </rPr>
      <t>FAIR CC S.A.</t>
    </r>
  </si>
  <si>
    <r>
      <rPr>
        <sz val="9"/>
        <rFont val="Arial MT"/>
        <family val="2"/>
      </rPr>
      <t>FAIR CORRETORA DE CAMBIO S.A.</t>
    </r>
  </si>
  <si>
    <r>
      <rPr>
        <sz val="9"/>
        <rFont val="Arial MT"/>
        <family val="2"/>
      </rPr>
      <t>CREDITAS SCD</t>
    </r>
  </si>
  <si>
    <r>
      <rPr>
        <sz val="9"/>
        <rFont val="Arial MT"/>
        <family val="2"/>
      </rPr>
      <t>Creditas Sociedade de Crédito Direto S.A.</t>
    </r>
  </si>
  <si>
    <r>
      <rPr>
        <sz val="9"/>
        <rFont val="Arial MT"/>
        <family val="2"/>
      </rPr>
      <t>CREDITAQUI FINANCEIRA S.A. - CFI</t>
    </r>
  </si>
  <si>
    <r>
      <rPr>
        <sz val="9"/>
        <rFont val="Arial MT"/>
        <family val="2"/>
      </rPr>
      <t>CREDITAQUI FINANCEIRA S.A. - CRÉDITO, FINANCIAMENTO E INVESTIMENTO</t>
    </r>
  </si>
  <si>
    <r>
      <rPr>
        <sz val="9"/>
        <rFont val="Arial MT"/>
        <family val="2"/>
      </rPr>
      <t>BCO LA NACION ARGENTINA</t>
    </r>
  </si>
  <si>
    <r>
      <rPr>
        <sz val="9"/>
        <rFont val="Arial MT"/>
        <family val="2"/>
      </rPr>
      <t>Banco de la Nacion Argentina</t>
    </r>
  </si>
  <si>
    <r>
      <rPr>
        <sz val="9"/>
        <rFont val="Arial MT"/>
        <family val="2"/>
      </rPr>
      <t>CITIBANK N.A.</t>
    </r>
  </si>
  <si>
    <r>
      <rPr>
        <sz val="9"/>
        <rFont val="Arial MT"/>
        <family val="2"/>
      </rPr>
      <t>Citibank N.A.</t>
    </r>
  </si>
  <si>
    <r>
      <rPr>
        <sz val="9"/>
        <rFont val="Arial MT"/>
        <family val="2"/>
      </rPr>
      <t>BCO CEDULA S.A.</t>
    </r>
  </si>
  <si>
    <r>
      <rPr>
        <sz val="9"/>
        <rFont val="Arial MT"/>
        <family val="2"/>
      </rPr>
      <t>BANCO CEDULA S.A.</t>
    </r>
  </si>
  <si>
    <r>
      <rPr>
        <sz val="9"/>
        <rFont val="Arial MT"/>
        <family val="2"/>
      </rPr>
      <t>BCO BRADESCO BERJ S.A.</t>
    </r>
  </si>
  <si>
    <r>
      <rPr>
        <sz val="9"/>
        <rFont val="Arial MT"/>
        <family val="2"/>
      </rPr>
      <t>Banco Bradesco BERJ S.A.</t>
    </r>
  </si>
  <si>
    <r>
      <rPr>
        <sz val="9"/>
        <rFont val="Arial MT"/>
        <family val="2"/>
      </rPr>
      <t>BCO J.P. MORGAN S.A.</t>
    </r>
  </si>
  <si>
    <r>
      <rPr>
        <sz val="9"/>
        <rFont val="Arial MT"/>
        <family val="2"/>
      </rPr>
      <t>BANCO J.P. MORGAN S.A.</t>
    </r>
  </si>
  <si>
    <r>
      <rPr>
        <sz val="9"/>
        <rFont val="Arial MT"/>
        <family val="2"/>
      </rPr>
      <t>BCO XP S.A.</t>
    </r>
  </si>
  <si>
    <r>
      <rPr>
        <sz val="9"/>
        <rFont val="Arial MT"/>
        <family val="2"/>
      </rPr>
      <t>Banco XP S.A.</t>
    </r>
  </si>
  <si>
    <r>
      <rPr>
        <sz val="9"/>
        <rFont val="Arial MT"/>
        <family val="2"/>
      </rPr>
      <t>BCO CAIXA GERAL BRASIL S.A.</t>
    </r>
  </si>
  <si>
    <r>
      <rPr>
        <sz val="9"/>
        <rFont val="Arial MT"/>
        <family val="2"/>
      </rPr>
      <t>Banco Caixa Geral - Brasil S.A.</t>
    </r>
  </si>
  <si>
    <r>
      <rPr>
        <sz val="9"/>
        <rFont val="Arial MT"/>
        <family val="2"/>
      </rPr>
      <t>BCO CITIBANK S.A.</t>
    </r>
  </si>
  <si>
    <r>
      <rPr>
        <sz val="9"/>
        <rFont val="Arial MT"/>
        <family val="2"/>
      </rPr>
      <t>Banco Citibank S.A.</t>
    </r>
  </si>
  <si>
    <r>
      <rPr>
        <sz val="9"/>
        <rFont val="Arial MT"/>
        <family val="2"/>
      </rPr>
      <t>BCO RODOBENS S.A.</t>
    </r>
  </si>
  <si>
    <r>
      <rPr>
        <sz val="9"/>
        <rFont val="Arial MT"/>
        <family val="2"/>
      </rPr>
      <t>BANCO RODOBENS S.A.</t>
    </r>
  </si>
  <si>
    <r>
      <rPr>
        <sz val="9"/>
        <rFont val="Arial MT"/>
        <family val="2"/>
      </rPr>
      <t>BCO FATOR S.A.</t>
    </r>
  </si>
  <si>
    <r>
      <rPr>
        <sz val="9"/>
        <rFont val="Arial MT"/>
        <family val="2"/>
      </rPr>
      <t>Banco Fator S.A.</t>
    </r>
  </si>
  <si>
    <r>
      <rPr>
        <sz val="9"/>
        <rFont val="Arial MT"/>
        <family val="2"/>
      </rPr>
      <t>BNDES</t>
    </r>
  </si>
  <si>
    <r>
      <rPr>
        <sz val="9"/>
        <rFont val="Arial MT"/>
        <family val="2"/>
      </rPr>
      <t>BANCO NACIONAL DE DESENVOLVIMENTO ECONOMICO E SOCIAL</t>
    </r>
  </si>
  <si>
    <r>
      <rPr>
        <sz val="9"/>
        <rFont val="Arial MT"/>
        <family val="2"/>
      </rPr>
      <t>ATIVA S.A. INVESTIMENTOS CCTVM</t>
    </r>
  </si>
  <si>
    <r>
      <rPr>
        <sz val="9"/>
        <rFont val="Arial MT"/>
        <family val="2"/>
      </rPr>
      <t>ATIVA INVESTIMENTOS S.A. CORRETORA DE TÍTULOS, CÂMBIO E VALORES</t>
    </r>
  </si>
  <si>
    <r>
      <rPr>
        <sz val="9"/>
        <rFont val="Arial MT"/>
        <family val="2"/>
      </rPr>
      <t>BGC LIQUIDEZ DTVM LTDA</t>
    </r>
  </si>
  <si>
    <r>
      <rPr>
        <sz val="9"/>
        <rFont val="Arial MT"/>
        <family val="2"/>
      </rPr>
      <t>BGC LIQUIDEZ DISTRIBUIDORA DE TÍTULOS E VALORES MOBILIÁRIOS LTDA</t>
    </r>
  </si>
  <si>
    <r>
      <rPr>
        <sz val="9"/>
        <rFont val="Arial MT"/>
        <family val="2"/>
      </rPr>
      <t>BANCO ITAÚ CONSIGNADO S.A.</t>
    </r>
  </si>
  <si>
    <r>
      <rPr>
        <sz val="9"/>
        <rFont val="Arial MT"/>
        <family val="2"/>
      </rPr>
      <t>Banco Itaú Consignado S.A.</t>
    </r>
  </si>
  <si>
    <r>
      <rPr>
        <sz val="9"/>
        <rFont val="Arial MT"/>
        <family val="2"/>
      </rPr>
      <t>MASTER S/A CCTVM</t>
    </r>
  </si>
  <si>
    <r>
      <rPr>
        <sz val="9"/>
        <rFont val="Arial MT"/>
        <family val="2"/>
      </rPr>
      <t>MASTER S/A CORRETORA DE CâMBIO, TíTULOS E VALORES MOBILIáRIOS</t>
    </r>
  </si>
  <si>
    <r>
      <rPr>
        <sz val="9"/>
        <rFont val="Arial MT"/>
        <family val="2"/>
      </rPr>
      <t>BANCO MASTER</t>
    </r>
  </si>
  <si>
    <r>
      <rPr>
        <sz val="9"/>
        <rFont val="Arial MT"/>
        <family val="2"/>
      </rPr>
      <t>BANCO MASTER S/A</t>
    </r>
  </si>
  <si>
    <r>
      <rPr>
        <sz val="9"/>
        <rFont val="Arial MT"/>
        <family val="2"/>
      </rPr>
      <t>LISTO SCD S.A.</t>
    </r>
  </si>
  <si>
    <r>
      <rPr>
        <sz val="9"/>
        <rFont val="Arial MT"/>
        <family val="2"/>
      </rPr>
      <t>LISTO SOCIEDADE DE CREDITO DIRETO S.A.</t>
    </r>
  </si>
  <si>
    <r>
      <rPr>
        <sz val="9"/>
        <rFont val="Arial MT"/>
        <family val="2"/>
      </rPr>
      <t>HAITONG BI DO BRASIL S.A.</t>
    </r>
  </si>
  <si>
    <r>
      <rPr>
        <sz val="9"/>
        <rFont val="Arial MT"/>
        <family val="2"/>
      </rPr>
      <t>Haitong Banco de Investimento do Brasil S.A.</t>
    </r>
  </si>
  <si>
    <r>
      <rPr>
        <sz val="9"/>
        <rFont val="Arial MT"/>
        <family val="2"/>
      </rPr>
      <t>INTERCAM CC LTDA</t>
    </r>
  </si>
  <si>
    <r>
      <rPr>
        <sz val="9"/>
        <rFont val="Arial MT"/>
        <family val="2"/>
      </rPr>
      <t>INTERCAM CORRETORA DE CÂMBIO LTDA.</t>
    </r>
  </si>
  <si>
    <r>
      <rPr>
        <sz val="9"/>
        <rFont val="Arial MT"/>
        <family val="2"/>
      </rPr>
      <t>ÓTIMO SCD S.A.</t>
    </r>
  </si>
  <si>
    <r>
      <rPr>
        <sz val="9"/>
        <rFont val="Arial MT"/>
        <family val="2"/>
      </rPr>
      <t>ÓTIMO SOCIEDADE DE CRÉDITO DIRETO S.A.</t>
    </r>
  </si>
  <si>
    <r>
      <rPr>
        <sz val="9"/>
        <rFont val="Arial MT"/>
        <family val="2"/>
      </rPr>
      <t>BMP SCD S.A.</t>
    </r>
  </si>
  <si>
    <r>
      <rPr>
        <sz val="9"/>
        <rFont val="Arial MT"/>
        <family val="2"/>
      </rPr>
      <t>BMP SOCIEDADE DE CRÉDITO DIRETO S.A</t>
    </r>
  </si>
  <si>
    <r>
      <rPr>
        <sz val="9"/>
        <rFont val="Arial MT"/>
        <family val="2"/>
      </rPr>
      <t>VITREO DTVM S.A.</t>
    </r>
  </si>
  <si>
    <r>
      <rPr>
        <sz val="9"/>
        <rFont val="Arial MT"/>
        <family val="2"/>
      </rPr>
      <t>VITREO DISTRIBUIDORA DE TÍTULOS E VALORES MOBILIÁRIOS S.A.</t>
    </r>
  </si>
  <si>
    <r>
      <rPr>
        <sz val="9"/>
        <rFont val="Arial MT"/>
        <family val="2"/>
      </rPr>
      <t>REAG DTVM S.A.</t>
    </r>
  </si>
  <si>
    <r>
      <rPr>
        <sz val="9"/>
        <rFont val="Arial MT"/>
        <family val="2"/>
      </rPr>
      <t>REAG DISTRIBUIDORA DE TÍTULOS E VALORES MOBILIÁRIOS S.A.</t>
    </r>
  </si>
  <si>
    <r>
      <rPr>
        <sz val="9"/>
        <rFont val="Arial MT"/>
        <family val="2"/>
      </rPr>
      <t>PLANTAE CFI</t>
    </r>
  </si>
  <si>
    <r>
      <rPr>
        <sz val="9"/>
        <rFont val="Arial MT"/>
        <family val="2"/>
      </rPr>
      <t>PLANTAE S.A. - CRÉDITO, FINANCIAMENTO E INVESTIMENTO</t>
    </r>
  </si>
  <si>
    <r>
      <rPr>
        <sz val="9"/>
        <rFont val="Arial MT"/>
        <family val="2"/>
      </rPr>
      <t>UP.P SEP S.A.</t>
    </r>
  </si>
  <si>
    <r>
      <rPr>
        <sz val="9"/>
        <rFont val="Arial MT"/>
        <family val="2"/>
      </rPr>
      <t>UP.P SOCIEDADE DE EMPRÉSTIMO ENTRE PESSOAS S.A.</t>
    </r>
  </si>
  <si>
    <r>
      <rPr>
        <sz val="9"/>
        <rFont val="Arial MT"/>
        <family val="2"/>
      </rPr>
      <t>OLIVEIRA TRUST DTVM S.A.</t>
    </r>
  </si>
  <si>
    <r>
      <rPr>
        <sz val="9"/>
        <rFont val="Arial MT"/>
        <family val="2"/>
      </rPr>
      <t>OLIVEIRA TRUST DISTRIBUIDORA DE TÍTULOS E VALORES MOBILIARIOS S.A.</t>
    </r>
  </si>
  <si>
    <r>
      <rPr>
        <sz val="9"/>
        <rFont val="Arial MT"/>
        <family val="2"/>
      </rPr>
      <t>FINVEST DTVM</t>
    </r>
  </si>
  <si>
    <r>
      <rPr>
        <sz val="9"/>
        <rFont val="Arial MT"/>
        <family val="2"/>
      </rPr>
      <t>FINVEST DISTRIBUIDORA DE TÍTULOS E VALORES MOBILIÁRIOS LTDA.</t>
    </r>
  </si>
  <si>
    <r>
      <rPr>
        <sz val="9"/>
        <rFont val="Arial MT"/>
        <family val="2"/>
      </rPr>
      <t>QISTA S.A. CFI</t>
    </r>
  </si>
  <si>
    <r>
      <rPr>
        <sz val="9"/>
        <rFont val="Arial MT"/>
        <family val="2"/>
      </rPr>
      <t>QISTA S.A. - CRÉDITO, FINANCIAMENTO E INVESTIMENTO</t>
    </r>
  </si>
  <si>
    <r>
      <rPr>
        <sz val="9"/>
        <rFont val="Arial MT"/>
        <family val="2"/>
      </rPr>
      <t>BONUSPAGO SCD S.A.</t>
    </r>
  </si>
  <si>
    <r>
      <rPr>
        <sz val="9"/>
        <rFont val="Arial MT"/>
        <family val="2"/>
      </rPr>
      <t>BONUSPAGO SOCIEDADE DE CRÉDITO DIRETO S.A.</t>
    </r>
  </si>
  <si>
    <r>
      <rPr>
        <sz val="9"/>
        <rFont val="Arial MT"/>
        <family val="2"/>
      </rPr>
      <t>MAF DTVM SA</t>
    </r>
  </si>
  <si>
    <r>
      <rPr>
        <sz val="9"/>
        <rFont val="Arial MT"/>
        <family val="2"/>
      </rPr>
      <t>MAF DISTRIBUIDORA DE TÍTULOS E VALORES MOBILIÁRIOS S.A.</t>
    </r>
  </si>
  <si>
    <r>
      <rPr>
        <sz val="9"/>
        <rFont val="Arial MT"/>
        <family val="2"/>
      </rPr>
      <t>COBUCCIO S.A. SCFI</t>
    </r>
  </si>
  <si>
    <r>
      <rPr>
        <sz val="9"/>
        <rFont val="Arial MT"/>
        <family val="2"/>
      </rPr>
      <t>COBUCCIO S/A - SOCIEDADE DE CRÉDITO, FINANCIAMENTO E INVESTIMENTOS</t>
    </r>
  </si>
  <si>
    <r>
      <rPr>
        <sz val="9"/>
        <rFont val="Arial MT"/>
        <family val="2"/>
      </rPr>
      <t>SCFI EFÍ S.A.</t>
    </r>
  </si>
  <si>
    <r>
      <rPr>
        <sz val="9"/>
        <rFont val="Arial MT"/>
        <family val="2"/>
      </rPr>
      <t>SOCIEDADE DE CRÉDITO, FINANCIAMENTO E INVESTIMENTO EFÍ S.A.</t>
    </r>
  </si>
  <si>
    <r>
      <rPr>
        <sz val="9"/>
        <rFont val="Arial MT"/>
        <family val="2"/>
      </rPr>
      <t>SUMUP SCD S.A.</t>
    </r>
  </si>
  <si>
    <r>
      <rPr>
        <sz val="9"/>
        <rFont val="Arial MT"/>
        <family val="2"/>
      </rPr>
      <t>SUMUP SOCIEDADE DE CRÉDITO DIRETO S.A.</t>
    </r>
  </si>
  <si>
    <r>
      <rPr>
        <sz val="9"/>
        <rFont val="Arial MT"/>
        <family val="2"/>
      </rPr>
      <t>ZIPDIN SCD S.A.</t>
    </r>
  </si>
  <si>
    <r>
      <rPr>
        <sz val="9"/>
        <rFont val="Arial MT"/>
        <family val="2"/>
      </rPr>
      <t>ZIPDIN SOLUÇÕES DIGITAIS SOCIEDADE DE CRÉDITO DIRETO S/A</t>
    </r>
  </si>
  <si>
    <r>
      <rPr>
        <sz val="9"/>
        <rFont val="Arial MT"/>
        <family val="2"/>
      </rPr>
      <t>LEND SCD S.A.</t>
    </r>
  </si>
  <si>
    <r>
      <rPr>
        <sz val="9"/>
        <rFont val="Arial MT"/>
        <family val="2"/>
      </rPr>
      <t>LEND SOCIEDADE DE CRÉDITO DIRETO S.A.</t>
    </r>
  </si>
  <si>
    <r>
      <rPr>
        <sz val="9"/>
        <rFont val="Arial MT"/>
        <family val="2"/>
      </rPr>
      <t>DM</t>
    </r>
  </si>
  <si>
    <r>
      <rPr>
        <sz val="9"/>
        <rFont val="Arial MT"/>
        <family val="2"/>
      </rPr>
      <t>DM SOCIEDADE DE CRÉDITO DIRETO S.A.</t>
    </r>
  </si>
  <si>
    <r>
      <rPr>
        <sz val="9"/>
        <rFont val="Arial MT"/>
        <family val="2"/>
      </rPr>
      <t>MERCADO CRÉDITO SCFI S.A.</t>
    </r>
  </si>
  <si>
    <r>
      <rPr>
        <sz val="9"/>
        <rFont val="Arial MT"/>
        <family val="2"/>
      </rPr>
      <t>MERCADO CRÉDITO SOCIEDADE DE CRÉDITO, FINANCIAMENTO E INVESTIMENTO S.A.</t>
    </r>
  </si>
  <si>
    <r>
      <rPr>
        <sz val="9"/>
        <rFont val="Arial MT"/>
        <family val="2"/>
      </rPr>
      <t>ACCREDITO SCD S.A.</t>
    </r>
  </si>
  <si>
    <r>
      <rPr>
        <sz val="9"/>
        <rFont val="Arial MT"/>
        <family val="2"/>
      </rPr>
      <t>ACCREDITO - SOCIEDADE DE CRÉDITO DIRETO S.A.</t>
    </r>
  </si>
  <si>
    <r>
      <rPr>
        <sz val="9"/>
        <rFont val="Arial MT"/>
        <family val="2"/>
      </rPr>
      <t>CORA SCD S.A.</t>
    </r>
  </si>
  <si>
    <r>
      <rPr>
        <sz val="9"/>
        <rFont val="Arial MT"/>
        <family val="2"/>
      </rPr>
      <t>CORA SOCIEDADE DE CRÉDITO DIRETO S.A.</t>
    </r>
  </si>
  <si>
    <r>
      <rPr>
        <sz val="9"/>
        <rFont val="Arial MT"/>
        <family val="2"/>
      </rPr>
      <t>NUMBRS SCD S.A.</t>
    </r>
  </si>
  <si>
    <r>
      <rPr>
        <sz val="9"/>
        <rFont val="Arial MT"/>
        <family val="2"/>
      </rPr>
      <t>NUMBRS SOCIEDADE DE CRÉDITO DIRETO S.A.</t>
    </r>
  </si>
  <si>
    <r>
      <rPr>
        <sz val="9"/>
        <rFont val="Arial MT"/>
        <family val="2"/>
      </rPr>
      <t>DELCRED SCD S.A.</t>
    </r>
  </si>
  <si>
    <r>
      <rPr>
        <sz val="9"/>
        <rFont val="Arial MT"/>
        <family val="2"/>
      </rPr>
      <t>DELCRED SOCIEDADE DE CRÉDITO DIRETO S.A.</t>
    </r>
  </si>
  <si>
    <r>
      <rPr>
        <sz val="9"/>
        <rFont val="Arial MT"/>
        <family val="2"/>
      </rPr>
      <t>FÊNIX DTVM LTDA.</t>
    </r>
  </si>
  <si>
    <r>
      <rPr>
        <sz val="9"/>
        <rFont val="Arial MT"/>
        <family val="2"/>
      </rPr>
      <t>FÊNIX DISTRIBUIDORA DE TÍTULOS E VALORES MOBILIÁRIOS LTDA.</t>
    </r>
  </si>
  <si>
    <r>
      <rPr>
        <sz val="9"/>
        <rFont val="Arial MT"/>
        <family val="2"/>
      </rPr>
      <t>MULTICRED SCD S.A.</t>
    </r>
  </si>
  <si>
    <r>
      <rPr>
        <sz val="9"/>
        <rFont val="Arial MT"/>
        <family val="2"/>
      </rPr>
      <t>MULTICRED SOCIEDADE DE CRÉDITO DIRETO S.A.</t>
    </r>
  </si>
  <si>
    <r>
      <rPr>
        <sz val="9"/>
        <rFont val="Arial MT"/>
        <family val="2"/>
      </rPr>
      <t>CC LAR CREDI</t>
    </r>
  </si>
  <si>
    <r>
      <rPr>
        <sz val="9"/>
        <rFont val="Arial MT"/>
        <family val="2"/>
      </rPr>
      <t>LAR COOPERATIVA DE CRÉDITO - LAR CREDI</t>
    </r>
  </si>
  <si>
    <r>
      <rPr>
        <sz val="9"/>
        <rFont val="Arial MT"/>
        <family val="2"/>
      </rPr>
      <t>CREDIHOME SCD</t>
    </r>
  </si>
  <si>
    <r>
      <rPr>
        <sz val="9"/>
        <rFont val="Arial MT"/>
        <family val="2"/>
      </rPr>
      <t>CREDIHOME SOCIEDADE DE CRÉDITO DIRETO S.A.</t>
    </r>
  </si>
  <si>
    <r>
      <rPr>
        <sz val="9"/>
        <rFont val="Arial MT"/>
        <family val="2"/>
      </rPr>
      <t>OPEA SCD</t>
    </r>
  </si>
  <si>
    <r>
      <rPr>
        <sz val="9"/>
        <rFont val="Arial MT"/>
        <family val="2"/>
      </rPr>
      <t>OPEA SOCIEDADE DE CRÉDITO DIRETO S.A.</t>
    </r>
  </si>
  <si>
    <r>
      <rPr>
        <sz val="9"/>
        <rFont val="Arial MT"/>
        <family val="2"/>
      </rPr>
      <t>UY3 SCD S/A</t>
    </r>
  </si>
  <si>
    <r>
      <rPr>
        <sz val="9"/>
        <rFont val="Arial MT"/>
        <family val="2"/>
      </rPr>
      <t>UY3 SOCIEDADE DE CRÉDITO DIRETO S/A</t>
    </r>
  </si>
  <si>
    <r>
      <rPr>
        <sz val="9"/>
        <rFont val="Arial MT"/>
        <family val="2"/>
      </rPr>
      <t>CREDSYSTEM SCD S.A.</t>
    </r>
  </si>
  <si>
    <r>
      <rPr>
        <sz val="9"/>
        <rFont val="Arial MT"/>
        <family val="2"/>
      </rPr>
      <t>CREDSYSTEM SOCIEDADE DE CRÉDITO DIRETO S.A.</t>
    </r>
  </si>
  <si>
    <r>
      <rPr>
        <sz val="9"/>
        <rFont val="Arial MT"/>
        <family val="2"/>
      </rPr>
      <t>HEMERA DTVM LTDA.</t>
    </r>
  </si>
  <si>
    <r>
      <rPr>
        <sz val="9"/>
        <rFont val="Arial MT"/>
        <family val="2"/>
      </rPr>
      <t>HEMERA DISTRIBUIDORA DE TÍTULOS E VALORES MOBILIÁRIOS LTDA.</t>
    </r>
  </si>
  <si>
    <r>
      <rPr>
        <sz val="9"/>
        <rFont val="Arial MT"/>
        <family val="2"/>
      </rPr>
      <t>CREDIFIT SCD S.A.</t>
    </r>
  </si>
  <si>
    <r>
      <rPr>
        <sz val="9"/>
        <rFont val="Arial MT"/>
        <family val="2"/>
      </rPr>
      <t>CREDIFIT SOCIEDADE DE CRÉDITO DIRETO S.A.</t>
    </r>
  </si>
  <si>
    <r>
      <rPr>
        <sz val="9"/>
        <rFont val="Arial MT"/>
        <family val="2"/>
      </rPr>
      <t>FFCRED SCD S.A.</t>
    </r>
  </si>
  <si>
    <r>
      <rPr>
        <sz val="9"/>
        <rFont val="Arial MT"/>
        <family val="2"/>
      </rPr>
      <t>FFCRED SOCIEDADE DE CRÉDITO DIRETO S.A..</t>
    </r>
  </si>
  <si>
    <r>
      <rPr>
        <sz val="9"/>
        <rFont val="Arial MT"/>
        <family val="2"/>
      </rPr>
      <t>STARK SCD S.A.</t>
    </r>
  </si>
  <si>
    <r>
      <rPr>
        <sz val="9"/>
        <rFont val="Arial MT"/>
        <family val="2"/>
      </rPr>
      <t>STARK SOCIEDADE DE CRÉDITO DIRETO S.A.</t>
    </r>
  </si>
  <si>
    <r>
      <rPr>
        <sz val="9"/>
        <rFont val="Arial MT"/>
        <family val="2"/>
      </rPr>
      <t>CAPITAL CONSIG SCD S.A.</t>
    </r>
  </si>
  <si>
    <r>
      <rPr>
        <sz val="9"/>
        <rFont val="Arial MT"/>
        <family val="2"/>
      </rPr>
      <t>CAPITAL CONSIG SOCIEDADE DE CRÉDITO DIRETO S.A.</t>
    </r>
  </si>
  <si>
    <r>
      <rPr>
        <sz val="9"/>
        <rFont val="Arial MT"/>
        <family val="2"/>
      </rPr>
      <t>PROTEGE PAY CASH IP S.A.</t>
    </r>
  </si>
  <si>
    <r>
      <rPr>
        <sz val="9"/>
        <rFont val="Arial MT"/>
        <family val="2"/>
      </rPr>
      <t>PROTEGE PAY CASH INSTITUICAO DE PAGAMENTO S/A</t>
    </r>
  </si>
  <si>
    <r>
      <rPr>
        <sz val="9"/>
        <rFont val="Arial MT"/>
        <family val="2"/>
      </rPr>
      <t>PORTOPAR DTVM LTDA</t>
    </r>
  </si>
  <si>
    <r>
      <rPr>
        <sz val="9"/>
        <rFont val="Arial MT"/>
        <family val="2"/>
      </rPr>
      <t>PORTOPAR DISTRIBUIDORA DE TITULOS E VALORES MOBILIARIOS LTDA.</t>
    </r>
  </si>
  <si>
    <r>
      <rPr>
        <sz val="9"/>
        <rFont val="Arial MT"/>
        <family val="2"/>
      </rPr>
      <t>PROSEFTUR</t>
    </r>
  </si>
  <si>
    <r>
      <rPr>
        <sz val="9"/>
        <rFont val="Arial MT"/>
        <family val="2"/>
      </rPr>
      <t>PROSEFTUR CORRETORA DE CAMBIO S.A</t>
    </r>
  </si>
  <si>
    <r>
      <rPr>
        <sz val="9"/>
        <rFont val="Arial MT"/>
        <family val="2"/>
      </rPr>
      <t>AZUMI DTVM</t>
    </r>
  </si>
  <si>
    <r>
      <rPr>
        <sz val="9"/>
        <rFont val="Arial MT"/>
        <family val="2"/>
      </rPr>
      <t>AZUMI DISTRIBUIDORA DE TíTULOS E VALORES MOBILIáRIOS LTDA.</t>
    </r>
  </si>
  <si>
    <r>
      <rPr>
        <sz val="9"/>
        <rFont val="Arial MT"/>
        <family val="2"/>
      </rPr>
      <t>J17 - SCD S/A</t>
    </r>
  </si>
  <si>
    <r>
      <rPr>
        <sz val="9"/>
        <rFont val="Arial MT"/>
        <family val="2"/>
      </rPr>
      <t>J17 - SOCIEDADE DE CRÉDITO DIRETO S/A</t>
    </r>
  </si>
  <si>
    <r>
      <rPr>
        <sz val="9"/>
        <rFont val="Arial MT"/>
        <family val="2"/>
      </rPr>
      <t>TRINUS SCD S.A.</t>
    </r>
  </si>
  <si>
    <r>
      <rPr>
        <sz val="9"/>
        <rFont val="Arial MT"/>
        <family val="2"/>
      </rPr>
      <t>TRINUS SOCIEDADE DE CRÉDITO DIRETO S.A.</t>
    </r>
  </si>
  <si>
    <r>
      <rPr>
        <sz val="9"/>
        <rFont val="Arial MT"/>
        <family val="2"/>
      </rPr>
      <t>LIONS TRUST DTVM</t>
    </r>
  </si>
  <si>
    <r>
      <rPr>
        <sz val="9"/>
        <rFont val="Arial MT"/>
        <family val="2"/>
      </rPr>
      <t>LIONS TRUST DISTRIBUIDORA DE TÍTULOS E VALORES MOBILIÁRIOS LTDA.</t>
    </r>
  </si>
  <si>
    <r>
      <rPr>
        <sz val="9"/>
        <rFont val="Arial MT"/>
        <family val="2"/>
      </rPr>
      <t>MÉRITO DTVM LTDA.</t>
    </r>
  </si>
  <si>
    <r>
      <rPr>
        <sz val="9"/>
        <rFont val="Arial MT"/>
        <family val="2"/>
      </rPr>
      <t>MÉRITO DISTRIBUIDORA DE TÍTULOS E VALORES MOBILIÁRIOS LTDA.</t>
    </r>
  </si>
  <si>
    <r>
      <rPr>
        <sz val="9"/>
        <rFont val="Arial MT"/>
        <family val="2"/>
      </rPr>
      <t>UNAVANTI SCD S/A</t>
    </r>
  </si>
  <si>
    <r>
      <rPr>
        <sz val="9"/>
        <rFont val="Arial MT"/>
        <family val="2"/>
      </rPr>
      <t>UNAVANTI SOCIEDADE DE CRÉDITO DIRETO S/A</t>
    </r>
  </si>
  <si>
    <r>
      <rPr>
        <sz val="9"/>
        <rFont val="Arial MT"/>
        <family val="2"/>
      </rPr>
      <t>RJI</t>
    </r>
  </si>
  <si>
    <r>
      <rPr>
        <sz val="9"/>
        <rFont val="Arial MT"/>
        <family val="2"/>
      </rPr>
      <t>RJI CORRETORA DE TITULOS E VALORES MOBILIARIOS LTDA</t>
    </r>
  </si>
  <si>
    <r>
      <rPr>
        <sz val="9"/>
        <rFont val="Arial MT"/>
        <family val="2"/>
      </rPr>
      <t>SBCASH SCD</t>
    </r>
  </si>
  <si>
    <r>
      <rPr>
        <sz val="9"/>
        <rFont val="Arial MT"/>
        <family val="2"/>
      </rPr>
      <t>SBCASH SOCIEDADE DE CRÉDITO DIRETO S.A.</t>
    </r>
  </si>
  <si>
    <r>
      <rPr>
        <sz val="9"/>
        <rFont val="Arial MT"/>
        <family val="2"/>
      </rPr>
      <t>BNY MELLON BCO S.A.</t>
    </r>
  </si>
  <si>
    <r>
      <rPr>
        <sz val="9"/>
        <rFont val="Arial MT"/>
        <family val="2"/>
      </rPr>
      <t>BNY Mellon Banco S.A.</t>
    </r>
  </si>
  <si>
    <r>
      <rPr>
        <sz val="9"/>
        <rFont val="Arial MT"/>
        <family val="2"/>
      </rPr>
      <t>PEFISA S.A. - C.F.I.</t>
    </r>
  </si>
  <si>
    <r>
      <rPr>
        <sz val="9"/>
        <rFont val="Arial MT"/>
        <family val="2"/>
      </rPr>
      <t>PEFISA S.A. - CRÉDITO, FINANCIAMENTO E INVESTIMENTO</t>
    </r>
  </si>
  <si>
    <r>
      <rPr>
        <sz val="9"/>
        <rFont val="Arial MT"/>
        <family val="2"/>
      </rPr>
      <t>SUPERLÓGICA SCD S.A.</t>
    </r>
  </si>
  <si>
    <r>
      <rPr>
        <sz val="9"/>
        <rFont val="Arial MT"/>
        <family val="2"/>
      </rPr>
      <t>SUPERLÓGICA SOCIEDADE DE CRÉDITO DIRETO S.A.</t>
    </r>
  </si>
  <si>
    <r>
      <rPr>
        <sz val="9"/>
        <rFont val="Arial MT"/>
        <family val="2"/>
      </rPr>
      <t>PEAK SEP S.A.</t>
    </r>
  </si>
  <si>
    <r>
      <rPr>
        <sz val="9"/>
        <rFont val="Arial MT"/>
        <family val="2"/>
      </rPr>
      <t>PEAK SOCIEDADE DE EMPRÉSTIMO ENTRE PESSOAS S.A.</t>
    </r>
  </si>
  <si>
    <r>
      <rPr>
        <sz val="9"/>
        <rFont val="Arial MT"/>
        <family val="2"/>
      </rPr>
      <t>BR-CAPITAL DTVM S.A.</t>
    </r>
  </si>
  <si>
    <r>
      <rPr>
        <sz val="9"/>
        <rFont val="Arial MT"/>
        <family val="2"/>
      </rPr>
      <t>BR-CAPITAL DISTRIBUIDORA DE TÍTULOS E VALORES MOBILIÁRIOS S.A.</t>
    </r>
  </si>
  <si>
    <r>
      <rPr>
        <sz val="9"/>
        <rFont val="Arial MT"/>
        <family val="2"/>
      </rPr>
      <t>BCO LA PROVINCIA B AIRES BCE</t>
    </r>
  </si>
  <si>
    <r>
      <rPr>
        <sz val="9"/>
        <rFont val="Arial MT"/>
        <family val="2"/>
      </rPr>
      <t>Banco de La Provincia de Buenos Aires</t>
    </r>
  </si>
  <si>
    <r>
      <rPr>
        <sz val="9"/>
        <rFont val="Arial MT"/>
        <family val="2"/>
      </rPr>
      <t>HR DIGITAL SCD</t>
    </r>
  </si>
  <si>
    <r>
      <rPr>
        <sz val="9"/>
        <rFont val="Arial MT"/>
        <family val="2"/>
      </rPr>
      <t>HR DIGITAL - SOCIEDADE DE CRÉDITO DIRETO S/A</t>
    </r>
  </si>
  <si>
    <r>
      <rPr>
        <sz val="9"/>
        <rFont val="Arial MT"/>
        <family val="2"/>
      </rPr>
      <t>ATICCA SCD S.A.</t>
    </r>
  </si>
  <si>
    <r>
      <rPr>
        <sz val="9"/>
        <rFont val="Arial MT"/>
        <family val="2"/>
      </rPr>
      <t>ATICCA - SOCIEDADE DE CRÉDITO DIRETO S.A.</t>
    </r>
  </si>
  <si>
    <r>
      <rPr>
        <sz val="9"/>
        <rFont val="Arial MT"/>
        <family val="2"/>
      </rPr>
      <t>MAGNUM SCD</t>
    </r>
  </si>
  <si>
    <r>
      <rPr>
        <sz val="9"/>
        <rFont val="Arial MT"/>
        <family val="2"/>
      </rPr>
      <t>MAGNUM SOCIEDADE DE CRÉDITO DIRETO S.A.</t>
    </r>
  </si>
  <si>
    <r>
      <rPr>
        <sz val="9"/>
        <rFont val="Arial MT"/>
        <family val="2"/>
      </rPr>
      <t>SOMAPAY SCD S.A.</t>
    </r>
  </si>
  <si>
    <r>
      <rPr>
        <sz val="9"/>
        <rFont val="Arial MT"/>
        <family val="2"/>
      </rPr>
      <t>SOMAPAY SOCIEDADE DE CRÉDITO DIRETO S.A.</t>
    </r>
  </si>
  <si>
    <r>
      <rPr>
        <sz val="9"/>
        <rFont val="Arial MT"/>
        <family val="2"/>
      </rPr>
      <t>ATF CREDIT SCD S.A.</t>
    </r>
  </si>
  <si>
    <r>
      <rPr>
        <sz val="9"/>
        <rFont val="Arial MT"/>
        <family val="2"/>
      </rPr>
      <t>ATF CREDIT SOCIEDADE DE CRÉDITO DIRETO S.A.</t>
    </r>
  </si>
  <si>
    <r>
      <rPr>
        <sz val="9"/>
        <rFont val="Arial MT"/>
        <family val="2"/>
      </rPr>
      <t>BANCO GENIAL</t>
    </r>
  </si>
  <si>
    <r>
      <rPr>
        <sz val="9"/>
        <rFont val="Arial MT"/>
        <family val="2"/>
      </rPr>
      <t>BANCO GENIAL S.A.</t>
    </r>
  </si>
  <si>
    <r>
      <rPr>
        <sz val="9"/>
        <rFont val="Arial MT"/>
        <family val="2"/>
      </rPr>
      <t>BNK DIGITAL SCD S.A.</t>
    </r>
  </si>
  <si>
    <r>
      <rPr>
        <sz val="9"/>
        <rFont val="Arial MT"/>
        <family val="2"/>
      </rPr>
      <t>BNK DIGITAL SOCIEDADE DE CRÉDITO DIRETO S.A.</t>
    </r>
  </si>
  <si>
    <r>
      <rPr>
        <sz val="9"/>
        <rFont val="Arial MT"/>
        <family val="2"/>
      </rPr>
      <t>EAGLE SCD S.A.</t>
    </r>
  </si>
  <si>
    <r>
      <rPr>
        <sz val="9"/>
        <rFont val="Arial MT"/>
        <family val="2"/>
      </rPr>
      <t>EAGLE SOCIEDADE DE CRÉDITO DIRETO S.A.</t>
    </r>
  </si>
  <si>
    <r>
      <rPr>
        <sz val="9"/>
        <rFont val="Arial MT"/>
        <family val="2"/>
      </rPr>
      <t>MICROCASH SCMEPP LTDA.</t>
    </r>
  </si>
  <si>
    <r>
      <rPr>
        <sz val="9"/>
        <rFont val="Arial MT"/>
        <family val="2"/>
      </rPr>
      <t>MICROCASH SOCIEDADE DE CRÉDITO AO MICROEMPREENDEDOR E À EMPRESA DE PEQUENO PORTE LTDA.</t>
    </r>
  </si>
  <si>
    <r>
      <rPr>
        <sz val="9"/>
        <rFont val="Arial MT"/>
        <family val="2"/>
      </rPr>
      <t>WNT CAPITAL DTVM</t>
    </r>
  </si>
  <si>
    <r>
      <rPr>
        <sz val="9"/>
        <rFont val="Arial MT"/>
        <family val="2"/>
      </rPr>
      <t>WNT CAPITAL DISTRIBUIDORA DE TÍTULOS E VALORES MOBILIÁRIOS S.A.</t>
    </r>
  </si>
  <si>
    <r>
      <rPr>
        <sz val="9"/>
        <rFont val="Arial MT"/>
        <family val="2"/>
      </rPr>
      <t>MONETARIE SCD</t>
    </r>
  </si>
  <si>
    <r>
      <rPr>
        <sz val="9"/>
        <rFont val="Arial MT"/>
        <family val="2"/>
      </rPr>
      <t>MONETARIE SOCIEDADE DE CRÉDITO DIRETO S.A.</t>
    </r>
  </si>
  <si>
    <r>
      <rPr>
        <sz val="9"/>
        <rFont val="Arial MT"/>
        <family val="2"/>
      </rPr>
      <t>JPMORGAN CHASE BANK</t>
    </r>
  </si>
  <si>
    <r>
      <rPr>
        <sz val="9"/>
        <rFont val="Arial MT"/>
        <family val="2"/>
      </rPr>
      <t>JPMorgan Chase Bank, National Association</t>
    </r>
  </si>
  <si>
    <r>
      <rPr>
        <sz val="9"/>
        <rFont val="Arial MT"/>
        <family val="2"/>
      </rPr>
      <t>RED SCD S.A.</t>
    </r>
  </si>
  <si>
    <r>
      <rPr>
        <sz val="9"/>
        <rFont val="Arial MT"/>
        <family val="2"/>
      </rPr>
      <t>RED SOCIEDADE DE CRÉDITO DIRETO S.A.</t>
    </r>
  </si>
  <si>
    <r>
      <rPr>
        <sz val="9"/>
        <rFont val="Arial MT"/>
        <family val="2"/>
      </rPr>
      <t>SER FINANCE SCD S.A.</t>
    </r>
  </si>
  <si>
    <r>
      <rPr>
        <sz val="9"/>
        <rFont val="Arial MT"/>
        <family val="2"/>
      </rPr>
      <t>SER FINANCE SOCIEDADE DE CRÉDITO DIRETO S.A.</t>
    </r>
  </si>
  <si>
    <r>
      <rPr>
        <sz val="9"/>
        <rFont val="Arial MT"/>
        <family val="2"/>
      </rPr>
      <t>PERCAPITAL SCD S.A.</t>
    </r>
  </si>
  <si>
    <r>
      <rPr>
        <sz val="9"/>
        <rFont val="Arial MT"/>
        <family val="2"/>
      </rPr>
      <t>PERCAPITAL SOCIEDADE DE CRÉDITO DIRETO S.A.</t>
    </r>
  </si>
  <si>
    <r>
      <rPr>
        <sz val="9"/>
        <rFont val="Arial MT"/>
        <family val="2"/>
      </rPr>
      <t>BCO ANDBANK S.A.</t>
    </r>
  </si>
  <si>
    <r>
      <rPr>
        <sz val="9"/>
        <rFont val="Arial MT"/>
        <family val="2"/>
      </rPr>
      <t>Banco AndBank (Brasil) S.A.</t>
    </r>
  </si>
  <si>
    <r>
      <rPr>
        <sz val="9"/>
        <rFont val="Arial MT"/>
        <family val="2"/>
      </rPr>
      <t>KANASTRA SCD</t>
    </r>
  </si>
  <si>
    <r>
      <rPr>
        <sz val="9"/>
        <rFont val="Arial MT"/>
        <family val="2"/>
      </rPr>
      <t>KANASTRA SOCIEDADE DE CRÉDITO DIRETO S.A.</t>
    </r>
  </si>
  <si>
    <r>
      <rPr>
        <sz val="9"/>
        <rFont val="Arial MT"/>
        <family val="2"/>
      </rPr>
      <t>QUADRA SCD</t>
    </r>
  </si>
  <si>
    <r>
      <rPr>
        <sz val="9"/>
        <rFont val="Arial MT"/>
        <family val="2"/>
      </rPr>
      <t>QUADRA SOCIEDADE DE CRÉDITO DIRETO S.A.</t>
    </r>
  </si>
  <si>
    <r>
      <rPr>
        <sz val="9"/>
        <rFont val="Arial MT"/>
        <family val="2"/>
      </rPr>
      <t>BRCONDOS SCD S.A.</t>
    </r>
  </si>
  <si>
    <r>
      <rPr>
        <sz val="9"/>
        <rFont val="Arial MT"/>
        <family val="2"/>
      </rPr>
      <t>BRCONDOS SOCIEDADE DE CRÉDITO DIRETO S.A.</t>
    </r>
  </si>
  <si>
    <r>
      <rPr>
        <sz val="9"/>
        <rFont val="Arial MT"/>
        <family val="2"/>
      </rPr>
      <t>LEVYCAM CCV LTDA</t>
    </r>
  </si>
  <si>
    <r>
      <rPr>
        <sz val="9"/>
        <rFont val="Arial MT"/>
        <family val="2"/>
      </rPr>
      <t>LEVYCAM - CORRETORA DE CAMBIO E VALORES LTDA.</t>
    </r>
  </si>
  <si>
    <r>
      <rPr>
        <sz val="9"/>
        <rFont val="Arial MT"/>
        <family val="2"/>
      </rPr>
      <t>BCV - BCO, CRÉDITO E VAREJO S.A.</t>
    </r>
  </si>
  <si>
    <r>
      <rPr>
        <sz val="9"/>
        <rFont val="Arial MT"/>
        <family val="2"/>
      </rPr>
      <t>BCV - BANCO DE CRÉDITO E VAREJO S.A.</t>
    </r>
  </si>
  <si>
    <r>
      <rPr>
        <sz val="9"/>
        <rFont val="Arial MT"/>
        <family val="2"/>
      </rPr>
      <t>ALL IN CRED SCD S.A.</t>
    </r>
  </si>
  <si>
    <r>
      <rPr>
        <sz val="9"/>
        <rFont val="Arial MT"/>
        <family val="2"/>
      </rPr>
      <t>ALL IN CRED SOCIEDADE DE CREDITO DIRETO S.A.</t>
    </r>
  </si>
  <si>
    <r>
      <rPr>
        <sz val="9"/>
        <rFont val="Arial MT"/>
        <family val="2"/>
      </rPr>
      <t>BEXS CC S.A.</t>
    </r>
  </si>
  <si>
    <r>
      <rPr>
        <sz val="9"/>
        <rFont val="Arial MT"/>
        <family val="2"/>
      </rPr>
      <t>Bexs Corretora de Câmbio S/A</t>
    </r>
  </si>
  <si>
    <r>
      <rPr>
        <sz val="9"/>
        <rFont val="Arial MT"/>
        <family val="2"/>
      </rPr>
      <t>BCO HSBC S.A.</t>
    </r>
  </si>
  <si>
    <r>
      <rPr>
        <sz val="9"/>
        <rFont val="Arial MT"/>
        <family val="2"/>
      </rPr>
      <t>BANCO HSBC S.A.</t>
    </r>
  </si>
  <si>
    <r>
      <rPr>
        <sz val="9"/>
        <rFont val="Arial MT"/>
        <family val="2"/>
      </rPr>
      <t>BCO ARBI S.A.</t>
    </r>
  </si>
  <si>
    <r>
      <rPr>
        <sz val="9"/>
        <rFont val="Arial MT"/>
        <family val="2"/>
      </rPr>
      <t>Banco Arbi S.A.</t>
    </r>
  </si>
  <si>
    <r>
      <rPr>
        <sz val="9"/>
        <rFont val="Arial MT"/>
        <family val="2"/>
      </rPr>
      <t>Câmara B3</t>
    </r>
  </si>
  <si>
    <r>
      <rPr>
        <sz val="9"/>
        <rFont val="Arial MT"/>
        <family val="2"/>
      </rPr>
      <t>INTESA SANPAOLO BRASIL S.A. BM</t>
    </r>
  </si>
  <si>
    <r>
      <rPr>
        <sz val="9"/>
        <rFont val="Arial MT"/>
        <family val="2"/>
      </rPr>
      <t>Intesa Sanpaolo Brasil S.A. - Banco Múltiplo</t>
    </r>
  </si>
  <si>
    <r>
      <rPr>
        <sz val="9"/>
        <rFont val="Arial MT"/>
        <family val="2"/>
      </rPr>
      <t>BCO TRICURY S.A.</t>
    </r>
  </si>
  <si>
    <r>
      <rPr>
        <sz val="9"/>
        <rFont val="Arial MT"/>
        <family val="2"/>
      </rPr>
      <t>Banco Tricury S.A.</t>
    </r>
  </si>
  <si>
    <r>
      <rPr>
        <sz val="9"/>
        <rFont val="Arial MT"/>
        <family val="2"/>
      </rPr>
      <t>BCO SAFRA S.A.</t>
    </r>
  </si>
  <si>
    <r>
      <rPr>
        <sz val="9"/>
        <rFont val="Arial MT"/>
        <family val="2"/>
      </rPr>
      <t>Banco Safra S.A.</t>
    </r>
  </si>
  <si>
    <r>
      <rPr>
        <sz val="9"/>
        <rFont val="Arial MT"/>
        <family val="2"/>
      </rPr>
      <t>BCO LETSBANK S.A.</t>
    </r>
  </si>
  <si>
    <r>
      <rPr>
        <sz val="9"/>
        <rFont val="Arial MT"/>
        <family val="2"/>
      </rPr>
      <t>BANCO LETSBANK S.A.</t>
    </r>
  </si>
  <si>
    <r>
      <rPr>
        <sz val="9"/>
        <rFont val="Arial MT"/>
        <family val="2"/>
      </rPr>
      <t>BCO FIBRA S.A.</t>
    </r>
  </si>
  <si>
    <r>
      <rPr>
        <sz val="9"/>
        <rFont val="Arial MT"/>
        <family val="2"/>
      </rPr>
      <t>Banco Fibra S.A.</t>
    </r>
  </si>
  <si>
    <r>
      <rPr>
        <sz val="9"/>
        <rFont val="Arial MT"/>
        <family val="2"/>
      </rPr>
      <t>BCO VOLKSWAGEN S.A</t>
    </r>
  </si>
  <si>
    <r>
      <rPr>
        <sz val="9"/>
        <rFont val="Arial MT"/>
        <family val="2"/>
      </rPr>
      <t>Banco Volkswagen S.A.</t>
    </r>
  </si>
  <si>
    <r>
      <rPr>
        <sz val="9"/>
        <rFont val="Arial MT"/>
        <family val="2"/>
      </rPr>
      <t>BCO LUSO BRASILEIRO S.A.</t>
    </r>
  </si>
  <si>
    <r>
      <rPr>
        <sz val="9"/>
        <rFont val="Arial MT"/>
        <family val="2"/>
      </rPr>
      <t>Banco Luso Brasileiro S.A.</t>
    </r>
  </si>
  <si>
    <r>
      <rPr>
        <sz val="9"/>
        <rFont val="Arial MT"/>
        <family val="2"/>
      </rPr>
      <t>BCO GM S.A.</t>
    </r>
  </si>
  <si>
    <r>
      <rPr>
        <sz val="9"/>
        <rFont val="Arial MT"/>
        <family val="2"/>
      </rPr>
      <t>BANCO GM S.A.</t>
    </r>
  </si>
  <si>
    <r>
      <rPr>
        <sz val="9"/>
        <rFont val="Arial MT"/>
        <family val="2"/>
      </rPr>
      <t>BANCO PAN</t>
    </r>
  </si>
  <si>
    <r>
      <rPr>
        <sz val="9"/>
        <rFont val="Arial MT"/>
        <family val="2"/>
      </rPr>
      <t>Banco Pan S.A.</t>
    </r>
  </si>
  <si>
    <r>
      <rPr>
        <sz val="9"/>
        <rFont val="Arial MT"/>
        <family val="2"/>
      </rPr>
      <t>BCO VOTORANTIM S.A.</t>
    </r>
  </si>
  <si>
    <r>
      <rPr>
        <sz val="9"/>
        <rFont val="Arial MT"/>
        <family val="2"/>
      </rPr>
      <t>Banco Votorantim S.A.</t>
    </r>
  </si>
  <si>
    <r>
      <rPr>
        <sz val="9"/>
        <rFont val="Arial MT"/>
        <family val="2"/>
      </rPr>
      <t>BCO ITAUBANK S.A.</t>
    </r>
  </si>
  <si>
    <r>
      <rPr>
        <sz val="9"/>
        <rFont val="Arial MT"/>
        <family val="2"/>
      </rPr>
      <t>Banco ItauBank S.A.</t>
    </r>
  </si>
  <si>
    <r>
      <rPr>
        <sz val="9"/>
        <rFont val="Arial MT"/>
        <family val="2"/>
      </rPr>
      <t>BCO MUFG BRASIL S.A.</t>
    </r>
  </si>
  <si>
    <r>
      <rPr>
        <sz val="9"/>
        <rFont val="Arial MT"/>
        <family val="2"/>
      </rPr>
      <t>Banco MUFG Brasil S.A.</t>
    </r>
  </si>
  <si>
    <r>
      <rPr>
        <sz val="9"/>
        <rFont val="Arial MT"/>
        <family val="2"/>
      </rPr>
      <t>BCO SUMITOMO MITSUI BRASIL S.A.</t>
    </r>
  </si>
  <si>
    <r>
      <rPr>
        <sz val="9"/>
        <rFont val="Arial MT"/>
        <family val="2"/>
      </rPr>
      <t>Banco Sumitomo Mitsui Brasileiro S.A.</t>
    </r>
  </si>
  <si>
    <r>
      <rPr>
        <sz val="9"/>
        <rFont val="Arial MT"/>
        <family val="2"/>
      </rPr>
      <t>ITAÚ UNIBANCO S.A.</t>
    </r>
  </si>
  <si>
    <r>
      <rPr>
        <sz val="9"/>
        <rFont val="Arial MT"/>
        <family val="2"/>
      </rPr>
      <t>BCO BRADESCO S.A.</t>
    </r>
  </si>
  <si>
    <r>
      <rPr>
        <sz val="9"/>
        <rFont val="Arial MT"/>
        <family val="2"/>
      </rPr>
      <t>Banco Bradesco S.A.</t>
    </r>
  </si>
  <si>
    <r>
      <rPr>
        <sz val="9"/>
        <rFont val="Arial MT"/>
        <family val="2"/>
      </rPr>
      <t>BCO MERCEDES-BENZ S.A.</t>
    </r>
  </si>
  <si>
    <r>
      <rPr>
        <sz val="9"/>
        <rFont val="Arial MT"/>
        <family val="2"/>
      </rPr>
      <t>BANCO MERCEDES-BENZ DO BRASIL S.A.</t>
    </r>
  </si>
  <si>
    <r>
      <rPr>
        <sz val="9"/>
        <rFont val="Arial MT"/>
        <family val="2"/>
      </rPr>
      <t>OMNI BANCO S.A.</t>
    </r>
  </si>
  <si>
    <r>
      <rPr>
        <sz val="9"/>
        <rFont val="Arial MT"/>
        <family val="2"/>
      </rPr>
      <t>Omni Banco S.A.</t>
    </r>
  </si>
  <si>
    <r>
      <rPr>
        <sz val="9"/>
        <rFont val="Arial MT"/>
        <family val="2"/>
      </rPr>
      <t>BCO SOFISA S.A.</t>
    </r>
  </si>
  <si>
    <r>
      <rPr>
        <sz val="9"/>
        <rFont val="Arial MT"/>
        <family val="2"/>
      </rPr>
      <t>BANCO SOFISA S.A.</t>
    </r>
  </si>
  <si>
    <r>
      <rPr>
        <sz val="9"/>
        <rFont val="Arial MT"/>
        <family val="2"/>
      </rPr>
      <t>Câmbio B3</t>
    </r>
  </si>
  <si>
    <r>
      <rPr>
        <sz val="9"/>
        <rFont val="Arial MT"/>
        <family val="2"/>
      </rPr>
      <t>Câmara de Câmbio B3</t>
    </r>
  </si>
  <si>
    <r>
      <rPr>
        <sz val="9"/>
        <rFont val="Arial MT"/>
        <family val="2"/>
      </rPr>
      <t>BANCO VOITER</t>
    </r>
  </si>
  <si>
    <r>
      <rPr>
        <sz val="9"/>
        <rFont val="Arial MT"/>
        <family val="2"/>
      </rPr>
      <t>BANCO VOITER S.A.</t>
    </r>
  </si>
  <si>
    <r>
      <rPr>
        <sz val="9"/>
        <rFont val="Arial MT"/>
        <family val="2"/>
      </rPr>
      <t>BCO CREFISA S.A.</t>
    </r>
  </si>
  <si>
    <r>
      <rPr>
        <sz val="9"/>
        <rFont val="Arial MT"/>
        <family val="2"/>
      </rPr>
      <t>Banco Crefisa S.A.</t>
    </r>
  </si>
  <si>
    <r>
      <rPr>
        <sz val="9"/>
        <rFont val="Arial MT"/>
        <family val="2"/>
      </rPr>
      <t>BCO MIZUHO S.A.</t>
    </r>
  </si>
  <si>
    <r>
      <rPr>
        <sz val="9"/>
        <rFont val="Arial MT"/>
        <family val="2"/>
      </rPr>
      <t>Banco Mizuho do Brasil S.A.</t>
    </r>
  </si>
  <si>
    <r>
      <rPr>
        <sz val="9"/>
        <rFont val="Arial MT"/>
        <family val="2"/>
      </rPr>
      <t>BANCO INVESTCRED UNIBANCO S.A.</t>
    </r>
  </si>
  <si>
    <r>
      <rPr>
        <sz val="9"/>
        <rFont val="Arial MT"/>
        <family val="2"/>
      </rPr>
      <t>Banco Investcred Unibanco S.A.</t>
    </r>
  </si>
  <si>
    <r>
      <rPr>
        <sz val="9"/>
        <rFont val="Arial MT"/>
        <family val="2"/>
      </rPr>
      <t>BCO BMG S.A.</t>
    </r>
  </si>
  <si>
    <r>
      <rPr>
        <sz val="9"/>
        <rFont val="Arial MT"/>
        <family val="2"/>
      </rPr>
      <t>Banco BMG S.A.</t>
    </r>
  </si>
  <si>
    <r>
      <rPr>
        <sz val="9"/>
        <rFont val="Arial MT"/>
        <family val="2"/>
      </rPr>
      <t>BCO C6 CONSIG</t>
    </r>
  </si>
  <si>
    <r>
      <rPr>
        <sz val="9"/>
        <rFont val="Arial MT"/>
        <family val="2"/>
      </rPr>
      <t>BANCO C6 CONSIGNADO S.A.</t>
    </r>
  </si>
  <si>
    <r>
      <rPr>
        <sz val="9"/>
        <rFont val="Arial MT"/>
        <family val="2"/>
      </rPr>
      <t>AVENUE SECURITIES DTVM LTDA.</t>
    </r>
  </si>
  <si>
    <r>
      <rPr>
        <sz val="9"/>
        <rFont val="Arial MT"/>
        <family val="2"/>
      </rPr>
      <t>AVENUE SECURITIES DISTRIBUIDORA DE TÍTULOS E VALORES MOBILIÁRIOS LTDA.</t>
    </r>
  </si>
  <si>
    <r>
      <rPr>
        <sz val="9"/>
        <rFont val="Arial MT"/>
        <family val="2"/>
      </rPr>
      <t>SAGITUR CC - EM LIQUIDAÇÃO EXTRAJUDICIAL</t>
    </r>
  </si>
  <si>
    <r>
      <rPr>
        <sz val="9"/>
        <rFont val="Arial MT"/>
        <family val="2"/>
      </rPr>
      <t>SAGITUR CORRETORA DE CÂMBIO S.A.</t>
    </r>
  </si>
  <si>
    <r>
      <rPr>
        <sz val="9"/>
        <rFont val="Arial MT"/>
        <family val="2"/>
      </rPr>
      <t>BCO SOCIETE GENERALE BRASIL</t>
    </r>
  </si>
  <si>
    <r>
      <rPr>
        <sz val="9"/>
        <rFont val="Arial MT"/>
        <family val="2"/>
      </rPr>
      <t>BANCO SOCIETE GENERALE BRASIL S.A.</t>
    </r>
  </si>
  <si>
    <r>
      <rPr>
        <sz val="9"/>
        <rFont val="Arial MT"/>
        <family val="2"/>
      </rPr>
      <t>NEON CTVM S.A.</t>
    </r>
  </si>
  <si>
    <r>
      <rPr>
        <sz val="9"/>
        <rFont val="Arial MT"/>
        <family val="2"/>
      </rPr>
      <t>NEON CORRETORA DE TÍTULOS E VALORES MOBILIÁRIOS S.A.</t>
    </r>
  </si>
  <si>
    <r>
      <rPr>
        <sz val="9"/>
        <rFont val="Arial MT"/>
        <family val="2"/>
      </rPr>
      <t>TULLETT PREBON BRASIL CVC LTDA</t>
    </r>
  </si>
  <si>
    <r>
      <rPr>
        <sz val="9"/>
        <rFont val="Arial MT"/>
        <family val="2"/>
      </rPr>
      <t>TULLETT PREBON BRASIL CORRETORA DE VALORES E CÂMBIO LTDA</t>
    </r>
  </si>
  <si>
    <r>
      <rPr>
        <sz val="9"/>
        <rFont val="Arial MT"/>
        <family val="2"/>
      </rPr>
      <t>C.SUISSE HEDGING-GRIFFO CV S/A</t>
    </r>
  </si>
  <si>
    <r>
      <rPr>
        <sz val="9"/>
        <rFont val="Arial MT"/>
        <family val="2"/>
      </rPr>
      <t>CREDIT SUISSE HEDGING-GRIFFO CORRETORA DE VALORES S.A</t>
    </r>
  </si>
  <si>
    <r>
      <rPr>
        <sz val="9"/>
        <rFont val="Arial MT"/>
        <family val="2"/>
      </rPr>
      <t>BCO PAULISTA S.A.</t>
    </r>
  </si>
  <si>
    <r>
      <rPr>
        <sz val="9"/>
        <rFont val="Arial MT"/>
        <family val="2"/>
      </rPr>
      <t>Banco Paulista S.A.</t>
    </r>
  </si>
  <si>
    <r>
      <rPr>
        <sz val="9"/>
        <rFont val="Arial MT"/>
        <family val="2"/>
      </rPr>
      <t>BOFA MERRILL LYNCH BM S.A.</t>
    </r>
  </si>
  <si>
    <r>
      <rPr>
        <sz val="9"/>
        <rFont val="Arial MT"/>
        <family val="2"/>
      </rPr>
      <t>Bank of America Merrill Lynch Banco Múltiplo S.A.</t>
    </r>
  </si>
  <si>
    <r>
      <rPr>
        <sz val="9"/>
        <rFont val="Arial MT"/>
        <family val="2"/>
      </rPr>
      <t>CREDISAN CC</t>
    </r>
  </si>
  <si>
    <r>
      <rPr>
        <sz val="9"/>
        <rFont val="Arial MT"/>
        <family val="2"/>
      </rPr>
      <t>CREDISAN COOPERATIVA DE CRÉDITO</t>
    </r>
  </si>
  <si>
    <r>
      <rPr>
        <sz val="9"/>
        <rFont val="Arial MT"/>
        <family val="2"/>
      </rPr>
      <t>BCO PINE S.A.</t>
    </r>
  </si>
  <si>
    <r>
      <rPr>
        <sz val="9"/>
        <rFont val="Arial MT"/>
        <family val="2"/>
      </rPr>
      <t>Banco Pine S.A.</t>
    </r>
  </si>
  <si>
    <r>
      <rPr>
        <sz val="9"/>
        <rFont val="Arial MT"/>
        <family val="2"/>
      </rPr>
      <t>NU INVEST CORRETORA DE VALORES S.A.</t>
    </r>
  </si>
  <si>
    <r>
      <rPr>
        <sz val="9"/>
        <rFont val="Arial MT"/>
        <family val="2"/>
      </rPr>
      <t>BCO DAYCOVAL S.A</t>
    </r>
  </si>
  <si>
    <r>
      <rPr>
        <sz val="9"/>
        <rFont val="Arial MT"/>
        <family val="2"/>
      </rPr>
      <t>Banco Daycoval S.A.</t>
    </r>
  </si>
  <si>
    <r>
      <rPr>
        <sz val="9"/>
        <rFont val="Arial MT"/>
        <family val="2"/>
      </rPr>
      <t>CAROL DTVM LTDA.</t>
    </r>
  </si>
  <si>
    <r>
      <rPr>
        <sz val="9"/>
        <rFont val="Arial MT"/>
        <family val="2"/>
      </rPr>
      <t>CAROL DISTRIBUIDORA DE TITULOS E VALORES MOBILIARIOS LTDA.</t>
    </r>
  </si>
  <si>
    <r>
      <rPr>
        <sz val="9"/>
        <rFont val="Arial MT"/>
        <family val="2"/>
      </rPr>
      <t>SINGULARE CTVM S.A.</t>
    </r>
  </si>
  <si>
    <r>
      <rPr>
        <sz val="9"/>
        <rFont val="Arial MT"/>
        <family val="2"/>
      </rPr>
      <t>SINGULARE CORRETORA DE TÍTULOS E VALORES MOBILIÁRIOS S.A.</t>
    </r>
  </si>
  <si>
    <r>
      <rPr>
        <sz val="9"/>
        <rFont val="Arial MT"/>
        <family val="2"/>
      </rPr>
      <t>RENASCENCA DTVM LTDA</t>
    </r>
  </si>
  <si>
    <r>
      <rPr>
        <sz val="9"/>
        <rFont val="Arial MT"/>
        <family val="2"/>
      </rPr>
      <t>RENASCENCA DISTRIBUIDORA DE TÍTULOS E VALORES MOBILIÁRIOS LTDA</t>
    </r>
  </si>
  <si>
    <r>
      <rPr>
        <sz val="9"/>
        <rFont val="Arial MT"/>
        <family val="2"/>
      </rPr>
      <t>DEUTSCHE BANK S.A.BCO ALEMAO</t>
    </r>
  </si>
  <si>
    <r>
      <rPr>
        <sz val="9"/>
        <rFont val="Arial MT"/>
        <family val="2"/>
      </rPr>
      <t>DEUTSCHE BANK S.A. - BANCO ALEMAO</t>
    </r>
  </si>
  <si>
    <r>
      <rPr>
        <sz val="9"/>
        <rFont val="Arial MT"/>
        <family val="2"/>
      </rPr>
      <t>BANCO CIFRA</t>
    </r>
  </si>
  <si>
    <r>
      <rPr>
        <sz val="9"/>
        <rFont val="Arial MT"/>
        <family val="2"/>
      </rPr>
      <t>Banco Cifra S.A.</t>
    </r>
  </si>
  <si>
    <r>
      <rPr>
        <sz val="9"/>
        <rFont val="Arial MT"/>
        <family val="2"/>
      </rPr>
      <t>GUIDE</t>
    </r>
  </si>
  <si>
    <r>
      <rPr>
        <sz val="9"/>
        <rFont val="Arial MT"/>
        <family val="2"/>
      </rPr>
      <t>Guide Investimentos S.A. Corretora de Valores</t>
    </r>
  </si>
  <si>
    <r>
      <rPr>
        <sz val="9"/>
        <rFont val="Arial MT"/>
        <family val="2"/>
      </rPr>
      <t>TRUSTEE DTVM LTDA.</t>
    </r>
  </si>
  <si>
    <r>
      <rPr>
        <sz val="9"/>
        <rFont val="Arial MT"/>
        <family val="2"/>
      </rPr>
      <t>TRUSTEE DISTRIBUIDORA DE TÍTULOS E VALORES MOBILIÁRIOS LTDA.</t>
    </r>
  </si>
  <si>
    <r>
      <rPr>
        <sz val="9"/>
        <rFont val="Arial MT"/>
        <family val="2"/>
      </rPr>
      <t>SIMPAUL</t>
    </r>
  </si>
  <si>
    <r>
      <rPr>
        <sz val="9"/>
        <rFont val="Arial MT"/>
        <family val="2"/>
      </rPr>
      <t>SIMPAUL CORRETORA DE CAMBIO E VALORES MOBILIARIOS  S.A.</t>
    </r>
  </si>
  <si>
    <r>
      <rPr>
        <sz val="9"/>
        <rFont val="Arial MT"/>
        <family val="2"/>
      </rPr>
      <t>BCO RENDIMENTO S.A.</t>
    </r>
  </si>
  <si>
    <r>
      <rPr>
        <sz val="9"/>
        <rFont val="Arial MT"/>
        <family val="2"/>
      </rPr>
      <t>Banco Rendimento S.A.</t>
    </r>
  </si>
  <si>
    <r>
      <rPr>
        <sz val="9"/>
        <rFont val="Arial MT"/>
        <family val="2"/>
      </rPr>
      <t>BCO BS2 S.A.</t>
    </r>
  </si>
  <si>
    <r>
      <rPr>
        <sz val="9"/>
        <rFont val="Arial MT"/>
        <family val="2"/>
      </rPr>
      <t>Banco BS2 S.A.</t>
    </r>
  </si>
  <si>
    <r>
      <rPr>
        <sz val="9"/>
        <rFont val="Arial MT"/>
        <family val="2"/>
      </rPr>
      <t>LASTRO RDV DTVM LTDA</t>
    </r>
  </si>
  <si>
    <r>
      <rPr>
        <sz val="9"/>
        <rFont val="Arial MT"/>
        <family val="2"/>
      </rPr>
      <t>Lastro RDV Distribuidora de Títulos e Valores Mobiliários Ltda.</t>
    </r>
  </si>
  <si>
    <r>
      <rPr>
        <sz val="9"/>
        <rFont val="Arial MT"/>
        <family val="2"/>
      </rPr>
      <t>FRENTE CC S.A.</t>
    </r>
  </si>
  <si>
    <r>
      <rPr>
        <sz val="9"/>
        <rFont val="Arial MT"/>
        <family val="2"/>
      </rPr>
      <t>FRENTE CORRETORA DE CÂMBIO S.A.</t>
    </r>
  </si>
  <si>
    <r>
      <rPr>
        <sz val="9"/>
        <rFont val="Arial MT"/>
        <family val="2"/>
      </rPr>
      <t>EXIM CC LTDA.</t>
    </r>
  </si>
  <si>
    <r>
      <rPr>
        <sz val="9"/>
        <rFont val="Arial MT"/>
        <family val="2"/>
      </rPr>
      <t>EXIM CORRETORA DE CAMBIO LTDA</t>
    </r>
  </si>
  <si>
    <r>
      <rPr>
        <sz val="9"/>
        <rFont val="Arial MT"/>
        <family val="2"/>
      </rPr>
      <t>B&amp;T CC LTDA.</t>
    </r>
  </si>
  <si>
    <r>
      <rPr>
        <sz val="9"/>
        <rFont val="Arial MT"/>
        <family val="2"/>
      </rPr>
      <t>B&amp;T CORRETORA DE CAMBIO LTDA.</t>
    </r>
  </si>
  <si>
    <r>
      <rPr>
        <sz val="9"/>
        <rFont val="Arial MT"/>
        <family val="2"/>
      </rPr>
      <t>ÁGORA CTVM S.A.</t>
    </r>
  </si>
  <si>
    <r>
      <rPr>
        <sz val="9"/>
        <rFont val="Arial MT"/>
        <family val="2"/>
      </rPr>
      <t>ÁGORA CORRETORA DE TITULOS E VALORES MOBILIARIOS S.A.</t>
    </r>
  </si>
  <si>
    <r>
      <rPr>
        <sz val="9"/>
        <rFont val="Arial MT"/>
        <family val="2"/>
      </rPr>
      <t>NOVO BCO CONTINENTAL S.A. - BM</t>
    </r>
  </si>
  <si>
    <r>
      <rPr>
        <sz val="9"/>
        <rFont val="Arial MT"/>
        <family val="2"/>
      </rPr>
      <t>Novo Banco Continental S.A. - Banco Múltiplo</t>
    </r>
  </si>
  <si>
    <r>
      <rPr>
        <sz val="9"/>
        <rFont val="Arial MT"/>
        <family val="2"/>
      </rPr>
      <t>BCO CRÉDIT AGRICOLE BR S.A.</t>
    </r>
  </si>
  <si>
    <r>
      <rPr>
        <sz val="9"/>
        <rFont val="Arial MT"/>
        <family val="2"/>
      </rPr>
      <t>BANCO CRÉDIT AGRICOLE BRASIL S.A.</t>
    </r>
  </si>
  <si>
    <r>
      <rPr>
        <sz val="9"/>
        <rFont val="Arial MT"/>
        <family val="2"/>
      </rPr>
      <t>CCR COOPAVEL</t>
    </r>
  </si>
  <si>
    <r>
      <rPr>
        <sz val="9"/>
        <rFont val="Arial MT"/>
        <family val="2"/>
      </rPr>
      <t>Cooperativa de Crédito Rural Coopavel</t>
    </r>
  </si>
  <si>
    <r>
      <rPr>
        <sz val="9"/>
        <rFont val="Arial MT"/>
        <family val="2"/>
      </rPr>
      <t>BANCO SISTEMA</t>
    </r>
  </si>
  <si>
    <r>
      <rPr>
        <sz val="9"/>
        <rFont val="Arial MT"/>
        <family val="2"/>
      </rPr>
      <t>Banco Sistema S.A.</t>
    </r>
  </si>
  <si>
    <r>
      <rPr>
        <sz val="9"/>
        <rFont val="Arial MT"/>
        <family val="2"/>
      </rPr>
      <t>DOURADA CORRETORA</t>
    </r>
  </si>
  <si>
    <r>
      <rPr>
        <sz val="9"/>
        <rFont val="Arial MT"/>
        <family val="2"/>
      </rPr>
      <t>DOURADA CORRETORA DE CÂMBIO LTDA.</t>
    </r>
  </si>
  <si>
    <r>
      <rPr>
        <sz val="9"/>
        <rFont val="Arial MT"/>
        <family val="2"/>
      </rPr>
      <t>CREDIALIANÇA CCR</t>
    </r>
  </si>
  <si>
    <r>
      <rPr>
        <sz val="9"/>
        <rFont val="Arial MT"/>
        <family val="2"/>
      </rPr>
      <t>Credialiança Cooperativa de Crédito Rural</t>
    </r>
  </si>
  <si>
    <r>
      <rPr>
        <sz val="9"/>
        <rFont val="Arial MT"/>
        <family val="2"/>
      </rPr>
      <t>BCO VR S.A.</t>
    </r>
  </si>
  <si>
    <r>
      <rPr>
        <sz val="9"/>
        <rFont val="Arial MT"/>
        <family val="2"/>
      </rPr>
      <t>Banco VR S.A.</t>
    </r>
  </si>
  <si>
    <r>
      <rPr>
        <sz val="9"/>
        <rFont val="Arial MT"/>
        <family val="2"/>
      </rPr>
      <t>BCO OURINVEST S.A.</t>
    </r>
  </si>
  <si>
    <r>
      <rPr>
        <sz val="9"/>
        <rFont val="Arial MT"/>
        <family val="2"/>
      </rPr>
      <t>Banco Ourinvest S.A.</t>
    </r>
  </si>
  <si>
    <r>
      <rPr>
        <sz val="9"/>
        <rFont val="Arial MT"/>
        <family val="2"/>
      </rPr>
      <t>BCO RNX S.A.</t>
    </r>
  </si>
  <si>
    <r>
      <rPr>
        <sz val="9"/>
        <rFont val="Arial MT"/>
        <family val="2"/>
      </rPr>
      <t>BANCO RNX S.A.</t>
    </r>
  </si>
  <si>
    <r>
      <rPr>
        <sz val="9"/>
        <rFont val="Arial MT"/>
        <family val="2"/>
      </rPr>
      <t>CREDICOAMO</t>
    </r>
  </si>
  <si>
    <r>
      <rPr>
        <sz val="9"/>
        <rFont val="Arial MT"/>
        <family val="2"/>
      </rPr>
      <t>CREDICOAMO CREDITO RURAL COOPERATIVA</t>
    </r>
  </si>
  <si>
    <r>
      <rPr>
        <sz val="9"/>
        <rFont val="Arial MT"/>
        <family val="2"/>
      </rPr>
      <t>CREDIBRF COOP</t>
    </r>
  </si>
  <si>
    <r>
      <rPr>
        <sz val="9"/>
        <rFont val="Arial MT"/>
        <family val="2"/>
      </rPr>
      <t>CREDIBRF - COOPERATIVA DE CRÉDITO</t>
    </r>
  </si>
  <si>
    <r>
      <rPr>
        <sz val="9"/>
        <rFont val="Arial MT"/>
        <family val="2"/>
      </rPr>
      <t>MAGNETIS - DTVM</t>
    </r>
  </si>
  <si>
    <r>
      <rPr>
        <sz val="9"/>
        <rFont val="Arial MT"/>
        <family val="2"/>
      </rPr>
      <t>MAGNETIS - DISTRIBUIDORA DE TÍTULOS E VALORES MOBILIÁRIOS LTDA</t>
    </r>
  </si>
  <si>
    <r>
      <rPr>
        <sz val="9"/>
        <rFont val="Arial MT"/>
        <family val="2"/>
      </rPr>
      <t>RB INVESTIMENTOS DTVM LTDA.</t>
    </r>
  </si>
  <si>
    <r>
      <rPr>
        <sz val="9"/>
        <rFont val="Arial MT"/>
        <family val="2"/>
      </rPr>
      <t>RB INVESTIMENTOS DISTRIBUIDORA DE TITULOS E VALORES MOBILIARIOS LIMITADA</t>
    </r>
  </si>
  <si>
    <r>
      <rPr>
        <sz val="9"/>
        <rFont val="Arial MT"/>
        <family val="2"/>
      </rPr>
      <t>BCO SANTANDER (BRASIL) S.A.</t>
    </r>
  </si>
  <si>
    <r>
      <rPr>
        <sz val="9"/>
        <rFont val="Arial MT"/>
        <family val="2"/>
      </rPr>
      <t>BANCO SANTANDER (BRASIL) S.A.</t>
    </r>
  </si>
  <si>
    <r>
      <rPr>
        <sz val="9"/>
        <rFont val="Arial MT"/>
        <family val="2"/>
      </rPr>
      <t>BANCO JOHN DEERE S.A.</t>
    </r>
  </si>
  <si>
    <r>
      <rPr>
        <sz val="9"/>
        <rFont val="Arial MT"/>
        <family val="2"/>
      </rPr>
      <t>Banco John Deere S.A.</t>
    </r>
  </si>
  <si>
    <r>
      <rPr>
        <sz val="9"/>
        <rFont val="Arial MT"/>
        <family val="2"/>
      </rPr>
      <t>BCO DO ESTADO DO RS S.A.</t>
    </r>
  </si>
  <si>
    <r>
      <rPr>
        <sz val="9"/>
        <rFont val="Arial MT"/>
        <family val="2"/>
      </rPr>
      <t>Banco do Estado do Rio Grande do Sul S.A.</t>
    </r>
  </si>
  <si>
    <r>
      <rPr>
        <sz val="9"/>
        <rFont val="Arial MT"/>
        <family val="2"/>
      </rPr>
      <t>COOPCRECE</t>
    </r>
  </si>
  <si>
    <r>
      <rPr>
        <sz val="9"/>
        <rFont val="Arial MT"/>
        <family val="2"/>
      </rPr>
      <t>COOPERATIVA DE ECONOMIA E CRÉDITO MÚTUO DOS ELETRICITÁRIOS E DOS TRABALHADORES DAS EMPRESAS DO SETOR DE ENERGIA - COOPCRECE</t>
    </r>
  </si>
  <si>
    <r>
      <rPr>
        <sz val="9"/>
        <rFont val="Arial MT"/>
        <family val="2"/>
      </rPr>
      <t>ADVANCED CC LTDA</t>
    </r>
  </si>
  <si>
    <r>
      <rPr>
        <sz val="9"/>
        <rFont val="Arial MT"/>
        <family val="2"/>
      </rPr>
      <t>ADVANCED CORRETORA DE CÂMBIO LTDA</t>
    </r>
  </si>
  <si>
    <r>
      <rPr>
        <sz val="9"/>
        <rFont val="Arial MT"/>
        <family val="2"/>
      </rPr>
      <t>BCO DIGIMAIS S.A.</t>
    </r>
  </si>
  <si>
    <r>
      <rPr>
        <sz val="9"/>
        <rFont val="Arial MT"/>
        <family val="2"/>
      </rPr>
      <t>BANCO DIGIMAIS S.A.</t>
    </r>
  </si>
  <si>
    <r>
      <rPr>
        <sz val="9"/>
        <rFont val="Arial MT"/>
        <family val="2"/>
      </rPr>
      <t>WARREN CVMC LTDA</t>
    </r>
  </si>
  <si>
    <r>
      <rPr>
        <sz val="9"/>
        <rFont val="Arial MT"/>
        <family val="2"/>
      </rPr>
      <t>WARREN CORRETORA DE VALORES MOBILIÁRIOS E CÂMBIO LTDA.</t>
    </r>
  </si>
  <si>
    <r>
      <rPr>
        <sz val="9"/>
        <rFont val="Arial MT"/>
        <family val="2"/>
      </rPr>
      <t>BANCO ORIGINAL</t>
    </r>
  </si>
  <si>
    <r>
      <rPr>
        <sz val="9"/>
        <rFont val="Arial MT"/>
        <family val="2"/>
      </rPr>
      <t>Banco Original S.A.</t>
    </r>
  </si>
  <si>
    <r>
      <rPr>
        <sz val="9"/>
        <rFont val="Arial MT"/>
        <family val="2"/>
      </rPr>
      <t>EFX CC LTDA.</t>
    </r>
  </si>
  <si>
    <r>
      <rPr>
        <sz val="9"/>
        <rFont val="Arial MT"/>
        <family val="2"/>
      </rPr>
      <t>EFX CORRETORA DE CÂMBIO LTDA.</t>
    </r>
  </si>
  <si>
    <t>ISPB</t>
  </si>
  <si>
    <t>Se caso Pix, vide formatação página 34.</t>
  </si>
  <si>
    <t xml:space="preserve">Chave de endereçamento                                                                            </t>
  </si>
  <si>
    <t>Deposito Judicial , Pgto. Salários de servidores pelo SIAPE, ou PIX.</t>
  </si>
  <si>
    <t>Pode ser vazio. Caso não seja, Vide formatação página 33.</t>
  </si>
  <si>
    <t>01</t>
  </si>
  <si>
    <t xml:space="preserve">     </t>
  </si>
  <si>
    <t>Outras Informações</t>
  </si>
  <si>
    <t>0000</t>
  </si>
  <si>
    <t>05</t>
  </si>
  <si>
    <t xml:space="preserve">“03”  Chave Pix  tipo CPF/CNPJ </t>
  </si>
  <si>
    <t xml:space="preserve">“04”  Chave Aleatória </t>
  </si>
  <si>
    <t xml:space="preserve">“01”  Chave Pix  tipo Telefone </t>
  </si>
  <si>
    <t>BANCO BRASILEIRO DE CRÉDITO SOCIEDADE ANÔNIMA</t>
  </si>
  <si>
    <t>PIX</t>
  </si>
  <si>
    <t xml:space="preserve">                                          </t>
  </si>
  <si>
    <t xml:space="preserve">“02”  Chave Pix  tipo Email </t>
  </si>
  <si>
    <t>João Silva</t>
  </si>
  <si>
    <t>Maria Oliveira</t>
  </si>
  <si>
    <t>Empresa XYZ Ltda</t>
  </si>
  <si>
    <t>Carlos Souza</t>
  </si>
  <si>
    <t>Ana Costa</t>
  </si>
  <si>
    <t>Empresa ABC S.A.</t>
  </si>
  <si>
    <t>Pedro Alves</t>
  </si>
  <si>
    <t>Fernanda Lima</t>
  </si>
  <si>
    <t>Empresa QWE Ltda</t>
  </si>
  <si>
    <t>Roberto Santos</t>
  </si>
  <si>
    <t>12345678900</t>
  </si>
  <si>
    <t>98765432100</t>
  </si>
  <si>
    <t>12345678000199</t>
  </si>
  <si>
    <t>45678912300</t>
  </si>
  <si>
    <t>32165498700</t>
  </si>
  <si>
    <t>98765432000101</t>
  </si>
  <si>
    <t>65432198700</t>
  </si>
  <si>
    <t>78912345600</t>
  </si>
  <si>
    <t>23456789000102</t>
  </si>
  <si>
    <t>98712345600</t>
  </si>
  <si>
    <t>a1b2c3d4-e5f6-7890-1234-567890asdffe</t>
  </si>
  <si>
    <t>Pagamento mensal do aluguel.</t>
  </si>
  <si>
    <t>Compra de materiais de escritório.</t>
  </si>
  <si>
    <t>Pagamento de serviços de consultoria empresarial.</t>
  </si>
  <si>
    <t>Reembolso de despesas de viagem.</t>
  </si>
  <si>
    <t>Pagamento de mensalidade escolar.</t>
  </si>
  <si>
    <t>Compra de equipamentos para a empresa.</t>
  </si>
  <si>
    <t>Pagamento de frete para entrega de mercadorias.</t>
  </si>
  <si>
    <t>Reembolso de despesas médicas.</t>
  </si>
  <si>
    <t>Pagamento de honorários advocatícios.</t>
  </si>
  <si>
    <t>Compra de suprimentos para evento corporativo.</t>
  </si>
  <si>
    <t>54268450000145</t>
  </si>
  <si>
    <t xml:space="preserve">Rua Portico Guilhermina       </t>
  </si>
  <si>
    <t xml:space="preserve">FICTICIA LIMITADA             </t>
  </si>
  <si>
    <t>000004526485</t>
  </si>
  <si>
    <t>Nome de exemplo Recebedor</t>
  </si>
  <si>
    <t>joao.silva@email.com</t>
  </si>
  <si>
    <t>+5511987654321</t>
  </si>
  <si>
    <t>carlos.souza@email.com</t>
  </si>
  <si>
    <t>+5511987654322</t>
  </si>
  <si>
    <t>pedro.alves@email.com</t>
  </si>
  <si>
    <t>+5511987654323</t>
  </si>
  <si>
    <t>23456789012</t>
  </si>
  <si>
    <t>f9d8c7b6-a5e4-3210-9876-abcdef123456</t>
  </si>
  <si>
    <t xml:space="preserve">0770001300001A00000000000000000000000000000João Silva                                        30012025BRL000000000000001000000000150000                    05062023000000000150000                                        01          0          </t>
  </si>
  <si>
    <t>0770001300001B 02100012345678900                                                                                               joao.silva@email.com                                                                               00000000000000</t>
  </si>
  <si>
    <t xml:space="preserve">0770001300002A00000000000000000000000000000Maria Oliveira                                    30012025BRL000000000000001000000000230050                    05062023000000000230050                                        01          0          </t>
  </si>
  <si>
    <t>0770001300002B 01100098765432100                                                                                               +5511987654321                                                                                     00000000000000</t>
  </si>
  <si>
    <t xml:space="preserve">0770001300003A00000000000000000000000000000Empresa XYZ Ltda                                  30012025BRL000000000000001000000000500000                    05062023000000000500000                                        01          0          </t>
  </si>
  <si>
    <t>0770001300003B 03212345678000199                                                                                               12345678000199                                                                                     00000000000000</t>
  </si>
  <si>
    <t xml:space="preserve">0770001300004A00000000000000000000000000000Carlos Souza                                      30012025BRL000000000000001000000000120000                    04062023000000000120000                                        01          0          </t>
  </si>
  <si>
    <t>0770001300004B 02100045678912300                                                                                               carlos.souza@email.com                                                                             00000000000000</t>
  </si>
  <si>
    <t xml:space="preserve">0770001300005A00000000000000000000000000000Ana Costa                                         30012025BRL000000000000001000000000080075                    05062023000000000080075                                        01          0          </t>
  </si>
  <si>
    <t>0770001300005B 01100032165498700                                                                                               +5511987654322                                                                                     00000000000000</t>
  </si>
  <si>
    <t xml:space="preserve">0770001300006A00000000000000000000000000000Empresa ABC S.A.                                  30012025BRL000000000000001000000001000000                    05062023000000001000000                                        01          0          </t>
  </si>
  <si>
    <t>0770001300006B 04298765432000101                                                                                               a1b2c3d4-e5f6-7890-1234-567890asdffe                                                               00000000000000</t>
  </si>
  <si>
    <t xml:space="preserve">0770001300007A00000000000000000000000000000Pedro Alves                                       30012025BRL000000000000001000000000035000                    04062023000000000035000                                        01          0          </t>
  </si>
  <si>
    <t>0770001300007B 02100065432198700                                                                                               pedro.alves@email.com                                                                              00000000000000</t>
  </si>
  <si>
    <t xml:space="preserve">0770001300008A00000000000000000000000000000Fernanda Lima                                     30012025BRL000000000000001000000000450000                    04062023000000000450000                                        01          0          </t>
  </si>
  <si>
    <t>0770001300008B 01100078912345600                                                                                               +5511987654323                                                                                     00000000000000</t>
  </si>
  <si>
    <t xml:space="preserve">0770001300009A00000000000000000000000000000Empresa QWE Ltda                                  30012025BRL000000000000001000000000750000                    05062023000000000750000                                        01          0          </t>
  </si>
  <si>
    <t>0770001300009B 03223456789000102                                                                                               23456789012                                                                                        00000000000000</t>
  </si>
  <si>
    <t xml:space="preserve">0770001300010A00000000000000000000000000000Roberto Santos                                    30012025BRL000000000000001000000000020000                    05062023000000000020000                                        01          0          </t>
  </si>
  <si>
    <t>0770001300010B 04100098712345600                                                                                               f9d8c7b6-a5e4-3210-9876-abcdef123456                                                               00000000000000</t>
  </si>
  <si>
    <t xml:space="preserve">07799999         000001000024000001                                                                                                                                                                                                             </t>
  </si>
  <si>
    <t xml:space="preserve">07700331C2045046 254268450000145                    0000190000045264859 FICTICIA LIMITADA                                                     Rua Portico Guilhermina       02310               Ribeirao Preto      10010510SP                  </t>
  </si>
  <si>
    <t xml:space="preserve">07700335         000022000000000003335125000000000000000000000000                                                                                                                                                                               </t>
  </si>
  <si>
    <t xml:space="preserve">07700000         254268450000145                    0000190000045264859 FICTICIA LIMITADA             BANCO INTER                             13001202512491400003310701600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</si>
</sst>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8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26"/>
      <name val="Calibri"/>
      <family val="2"/>
    </font>
    <font>
      <b/>
      <sz val="12"/>
      <name val="Calibri"/>
      <family val="2"/>
    </font>
    <font>
      <b/>
      <sz val="9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 MT"/>
      <family val="2"/>
    </font>
    <font>
      <sz val="9"/>
      <name val="Arial MT"/>
    </font>
    <font>
      <sz val="9"/>
      <name val="Arial MT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8CBAD"/>
      </patternFill>
    </fill>
    <fill>
      <patternFill patternType="solid">
        <fgColor rgb="FFFBE5D6"/>
      </patternFill>
    </fill>
    <fill>
      <patternFill patternType="solid">
        <fgColor rgb="FF4A72A1"/>
      </patternFill>
    </fill>
    <fill>
      <patternFill patternType="solid">
        <fgColor rgb="FFE5E9EC"/>
      </patternFill>
    </fill>
  </fills>
  <borders count="15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FF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20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quotePrefix="1"/>
    <xf numFmtId="1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3" borderId="1" xfId="1" applyFont="1" applyFill="1" applyBorder="1" applyAlignment="1">
      <alignment vertical="center" wrapText="1"/>
    </xf>
    <xf numFmtId="0" fontId="2" fillId="3" borderId="2" xfId="1" applyFont="1" applyFill="1" applyBorder="1" applyAlignment="1">
      <alignment vertical="center" wrapText="1"/>
    </xf>
    <xf numFmtId="0" fontId="2" fillId="3" borderId="3" xfId="1" applyFont="1" applyFill="1" applyBorder="1" applyAlignment="1">
      <alignment vertical="top" wrapText="1"/>
    </xf>
    <xf numFmtId="0" fontId="2" fillId="3" borderId="4" xfId="1" applyFont="1" applyFill="1" applyBorder="1" applyAlignment="1">
      <alignment vertical="top" wrapText="1"/>
    </xf>
    <xf numFmtId="0" fontId="3" fillId="4" borderId="3" xfId="1" applyFont="1" applyFill="1" applyBorder="1" applyAlignment="1">
      <alignment vertical="top" wrapText="1"/>
    </xf>
    <xf numFmtId="1" fontId="4" fillId="4" borderId="3" xfId="1" applyNumberFormat="1" applyFont="1" applyFill="1" applyBorder="1" applyAlignment="1">
      <alignment vertical="top" shrinkToFit="1"/>
    </xf>
    <xf numFmtId="0" fontId="1" fillId="4" borderId="3" xfId="1" applyFill="1" applyBorder="1" applyAlignment="1">
      <alignment wrapText="1"/>
    </xf>
    <xf numFmtId="0" fontId="3" fillId="4" borderId="3" xfId="1" applyFont="1" applyFill="1" applyBorder="1" applyAlignment="1">
      <alignment vertical="center" wrapText="1"/>
    </xf>
    <xf numFmtId="1" fontId="4" fillId="4" borderId="3" xfId="1" applyNumberFormat="1" applyFont="1" applyFill="1" applyBorder="1" applyAlignment="1">
      <alignment vertical="center" shrinkToFit="1"/>
    </xf>
    <xf numFmtId="0" fontId="2" fillId="3" borderId="1" xfId="1" applyFont="1" applyFill="1" applyBorder="1" applyAlignment="1">
      <alignment vertical="top" wrapText="1"/>
    </xf>
    <xf numFmtId="0" fontId="2" fillId="3" borderId="2" xfId="1" applyFont="1" applyFill="1" applyBorder="1" applyAlignment="1">
      <alignment vertical="top" wrapText="1"/>
    </xf>
    <xf numFmtId="0" fontId="1" fillId="4" borderId="3" xfId="1" applyFill="1" applyBorder="1" applyAlignment="1">
      <alignment vertical="top" wrapText="1"/>
    </xf>
    <xf numFmtId="0" fontId="1" fillId="4" borderId="3" xfId="1" applyFill="1" applyBorder="1" applyAlignment="1">
      <alignment vertical="center" wrapText="1"/>
    </xf>
    <xf numFmtId="0" fontId="5" fillId="3" borderId="1" xfId="1" applyFont="1" applyFill="1" applyBorder="1" applyAlignment="1">
      <alignment vertical="top" wrapText="1"/>
    </xf>
    <xf numFmtId="0" fontId="5" fillId="3" borderId="2" xfId="1" applyFont="1" applyFill="1" applyBorder="1" applyAlignment="1">
      <alignment vertical="top" wrapText="1"/>
    </xf>
    <xf numFmtId="0" fontId="5" fillId="3" borderId="3" xfId="1" applyFont="1" applyFill="1" applyBorder="1" applyAlignment="1">
      <alignment vertical="top" wrapText="1"/>
    </xf>
    <xf numFmtId="0" fontId="6" fillId="4" borderId="3" xfId="1" applyFont="1" applyFill="1" applyBorder="1" applyAlignment="1">
      <alignment vertical="top" wrapText="1"/>
    </xf>
    <xf numFmtId="1" fontId="7" fillId="4" borderId="3" xfId="1" applyNumberFormat="1" applyFont="1" applyFill="1" applyBorder="1" applyAlignment="1">
      <alignment vertical="top" shrinkToFit="1"/>
    </xf>
    <xf numFmtId="0" fontId="6" fillId="4" borderId="1" xfId="1" applyFont="1" applyFill="1" applyBorder="1" applyAlignment="1">
      <alignment vertical="top" wrapText="1"/>
    </xf>
    <xf numFmtId="0" fontId="6" fillId="4" borderId="2" xfId="1" applyFont="1" applyFill="1" applyBorder="1" applyAlignment="1">
      <alignment vertical="top" wrapText="1"/>
    </xf>
    <xf numFmtId="1" fontId="7" fillId="4" borderId="1" xfId="1" applyNumberFormat="1" applyFont="1" applyFill="1" applyBorder="1" applyAlignment="1">
      <alignment vertical="top" shrinkToFit="1"/>
    </xf>
    <xf numFmtId="1" fontId="7" fillId="4" borderId="2" xfId="1" applyNumberFormat="1" applyFont="1" applyFill="1" applyBorder="1" applyAlignment="1">
      <alignment vertical="top" shrinkToFit="1"/>
    </xf>
    <xf numFmtId="0" fontId="1" fillId="0" borderId="0" xfId="1" applyAlignment="1">
      <alignment horizontal="left" vertical="top"/>
    </xf>
    <xf numFmtId="0" fontId="3" fillId="4" borderId="3" xfId="1" applyFont="1" applyFill="1" applyBorder="1" applyAlignment="1">
      <alignment horizontal="center" vertical="top" wrapText="1"/>
    </xf>
    <xf numFmtId="1" fontId="4" fillId="4" borderId="3" xfId="1" applyNumberFormat="1" applyFont="1" applyFill="1" applyBorder="1" applyAlignment="1">
      <alignment horizontal="center" vertical="top" shrinkToFit="1"/>
    </xf>
    <xf numFmtId="0" fontId="3" fillId="4" borderId="3" xfId="1" applyFont="1" applyFill="1" applyBorder="1" applyAlignment="1">
      <alignment horizontal="center" vertical="center" wrapText="1"/>
    </xf>
    <xf numFmtId="1" fontId="4" fillId="4" borderId="3" xfId="1" applyNumberFormat="1" applyFont="1" applyFill="1" applyBorder="1" applyAlignment="1">
      <alignment horizontal="center" vertical="center" shrinkToFit="1"/>
    </xf>
    <xf numFmtId="0" fontId="1" fillId="0" borderId="0" xfId="1" applyAlignment="1">
      <alignment vertical="center" wrapText="1"/>
    </xf>
    <xf numFmtId="0" fontId="1" fillId="4" borderId="3" xfId="1" applyFill="1" applyBorder="1" applyAlignment="1">
      <alignment horizontal="center" vertical="center" wrapText="1"/>
    </xf>
    <xf numFmtId="0" fontId="1" fillId="4" borderId="3" xfId="1" applyFill="1" applyBorder="1" applyAlignment="1">
      <alignment horizontal="center" wrapText="1"/>
    </xf>
    <xf numFmtId="0" fontId="9" fillId="4" borderId="3" xfId="1" applyFont="1" applyFill="1" applyBorder="1" applyAlignment="1">
      <alignment vertical="top" wrapText="1"/>
    </xf>
    <xf numFmtId="0" fontId="9" fillId="4" borderId="3" xfId="1" applyFont="1" applyFill="1" applyBorder="1" applyAlignment="1">
      <alignment vertical="center" wrapText="1"/>
    </xf>
    <xf numFmtId="0" fontId="9" fillId="4" borderId="3" xfId="1" applyFont="1" applyFill="1" applyBorder="1" applyAlignment="1">
      <alignment horizontal="center" vertical="top" wrapText="1"/>
    </xf>
    <xf numFmtId="0" fontId="11" fillId="4" borderId="3" xfId="1" applyFont="1" applyFill="1" applyBorder="1" applyAlignment="1">
      <alignment vertical="top" wrapText="1"/>
    </xf>
    <xf numFmtId="0" fontId="8" fillId="3" borderId="1" xfId="1" applyFont="1" applyFill="1" applyBorder="1" applyAlignment="1">
      <alignment vertical="top"/>
    </xf>
    <xf numFmtId="0" fontId="2" fillId="3" borderId="2" xfId="1" applyFont="1" applyFill="1" applyBorder="1" applyAlignment="1">
      <alignment vertical="top"/>
    </xf>
    <xf numFmtId="0" fontId="2" fillId="3" borderId="6" xfId="1" applyFont="1" applyFill="1" applyBorder="1" applyAlignment="1">
      <alignment vertical="top" wrapText="1"/>
    </xf>
    <xf numFmtId="0" fontId="2" fillId="3" borderId="7" xfId="1" applyFont="1" applyFill="1" applyBorder="1" applyAlignment="1">
      <alignment vertical="top" wrapText="1"/>
    </xf>
    <xf numFmtId="0" fontId="10" fillId="4" borderId="3" xfId="1" applyFont="1" applyFill="1" applyBorder="1" applyAlignment="1">
      <alignment vertical="top" wrapText="1"/>
    </xf>
    <xf numFmtId="14" fontId="0" fillId="0" borderId="0" xfId="0" quotePrefix="1" applyNumberFormat="1"/>
    <xf numFmtId="0" fontId="6" fillId="4" borderId="3" xfId="1" applyFont="1" applyFill="1" applyBorder="1" applyAlignment="1">
      <alignment vertical="top"/>
    </xf>
    <xf numFmtId="0" fontId="3" fillId="4" borderId="3" xfId="1" applyFont="1" applyFill="1" applyBorder="1" applyAlignment="1">
      <alignment vertical="top"/>
    </xf>
    <xf numFmtId="0" fontId="10" fillId="4" borderId="3" xfId="1" applyFont="1" applyFill="1" applyBorder="1" applyAlignment="1">
      <alignment vertical="top"/>
    </xf>
    <xf numFmtId="0" fontId="9" fillId="4" borderId="3" xfId="1" applyFont="1" applyFill="1" applyBorder="1" applyAlignment="1">
      <alignment vertical="top"/>
    </xf>
    <xf numFmtId="164" fontId="0" fillId="0" borderId="0" xfId="0" applyNumberFormat="1"/>
    <xf numFmtId="0" fontId="3" fillId="4" borderId="3" xfId="1" applyFont="1" applyFill="1" applyBorder="1" applyAlignment="1">
      <alignment vertical="center"/>
    </xf>
    <xf numFmtId="0" fontId="2" fillId="3" borderId="3" xfId="1" applyFont="1" applyFill="1" applyBorder="1" applyAlignment="1">
      <alignment horizontal="center" vertical="top" wrapText="1"/>
    </xf>
    <xf numFmtId="0" fontId="2" fillId="3" borderId="5" xfId="1" applyFont="1" applyFill="1" applyBorder="1" applyAlignment="1">
      <alignment horizontal="center" vertical="top" wrapText="1"/>
    </xf>
    <xf numFmtId="49" fontId="0" fillId="0" borderId="0" xfId="0" applyNumberFormat="1"/>
    <xf numFmtId="49" fontId="6" fillId="4" borderId="3" xfId="1" applyNumberFormat="1" applyFont="1" applyFill="1" applyBorder="1" applyAlignment="1">
      <alignment vertical="top"/>
    </xf>
    <xf numFmtId="0" fontId="14" fillId="4" borderId="2" xfId="1" applyFont="1" applyFill="1" applyBorder="1" applyAlignment="1">
      <alignment vertical="center"/>
    </xf>
    <xf numFmtId="0" fontId="6" fillId="4" borderId="2" xfId="1" applyFont="1" applyFill="1" applyBorder="1" applyAlignment="1">
      <alignment vertical="top"/>
    </xf>
    <xf numFmtId="0" fontId="13" fillId="4" borderId="10" xfId="1" applyFont="1" applyFill="1" applyBorder="1" applyAlignment="1">
      <alignment vertical="center"/>
    </xf>
    <xf numFmtId="0" fontId="14" fillId="4" borderId="9" xfId="1" applyFont="1" applyFill="1" applyBorder="1" applyAlignment="1">
      <alignment vertical="center"/>
    </xf>
    <xf numFmtId="0" fontId="12" fillId="0" borderId="0" xfId="0" quotePrefix="1" applyFont="1"/>
    <xf numFmtId="0" fontId="12" fillId="0" borderId="0" xfId="0" applyFont="1"/>
    <xf numFmtId="0" fontId="10" fillId="4" borderId="11" xfId="1" applyFont="1" applyFill="1" applyBorder="1" applyAlignment="1">
      <alignment vertical="top"/>
    </xf>
    <xf numFmtId="0" fontId="17" fillId="6" borderId="12" xfId="0" applyFont="1" applyFill="1" applyBorder="1" applyAlignment="1">
      <alignment horizontal="center" vertical="top" shrinkToFit="1"/>
    </xf>
    <xf numFmtId="0" fontId="18" fillId="6" borderId="13" xfId="0" applyFont="1" applyFill="1" applyBorder="1" applyAlignment="1">
      <alignment horizontal="left" vertical="top"/>
    </xf>
    <xf numFmtId="0" fontId="18" fillId="6" borderId="13" xfId="0" applyFont="1" applyFill="1" applyBorder="1" applyAlignment="1">
      <alignment vertical="top"/>
    </xf>
    <xf numFmtId="0" fontId="15" fillId="5" borderId="12" xfId="0" applyFont="1" applyFill="1" applyBorder="1" applyAlignment="1">
      <alignment horizontal="center" vertical="top"/>
    </xf>
    <xf numFmtId="0" fontId="15" fillId="5" borderId="12" xfId="0" applyFont="1" applyFill="1" applyBorder="1" applyAlignment="1">
      <alignment horizontal="left" vertical="top"/>
    </xf>
    <xf numFmtId="0" fontId="15" fillId="5" borderId="13" xfId="0" applyFont="1" applyFill="1" applyBorder="1" applyAlignment="1">
      <alignment horizontal="left" vertical="top"/>
    </xf>
    <xf numFmtId="0" fontId="18" fillId="6" borderId="12" xfId="0" applyFont="1" applyFill="1" applyBorder="1" applyAlignment="1">
      <alignment horizontal="left" vertical="top"/>
    </xf>
    <xf numFmtId="0" fontId="18" fillId="6" borderId="12" xfId="0" applyFont="1" applyFill="1" applyBorder="1" applyAlignment="1">
      <alignment horizontal="center" vertical="top"/>
    </xf>
    <xf numFmtId="0" fontId="3" fillId="4" borderId="0" xfId="1" applyFont="1" applyFill="1" applyAlignment="1">
      <alignment vertical="top"/>
    </xf>
    <xf numFmtId="0" fontId="10" fillId="4" borderId="1" xfId="1" applyFont="1" applyFill="1" applyBorder="1" applyAlignment="1">
      <alignment vertical="top" wrapText="1"/>
    </xf>
    <xf numFmtId="0" fontId="6" fillId="4" borderId="11" xfId="1" applyFont="1" applyFill="1" applyBorder="1" applyAlignment="1">
      <alignment vertical="top"/>
    </xf>
    <xf numFmtId="0" fontId="0" fillId="0" borderId="14" xfId="0" applyBorder="1"/>
    <xf numFmtId="0" fontId="19" fillId="6" borderId="12" xfId="0" applyFont="1" applyFill="1" applyBorder="1" applyAlignment="1">
      <alignment horizontal="left" vertical="top"/>
    </xf>
    <xf numFmtId="44" fontId="0" fillId="0" borderId="0" xfId="0" applyNumberFormat="1"/>
    <xf numFmtId="44" fontId="0" fillId="0" borderId="0" xfId="2" applyFont="1"/>
    <xf numFmtId="44" fontId="6" fillId="4" borderId="3" xfId="2" applyFont="1" applyFill="1" applyBorder="1" applyAlignment="1">
      <alignment vertical="top"/>
    </xf>
    <xf numFmtId="14" fontId="6" fillId="4" borderId="2" xfId="1" applyNumberFormat="1" applyFont="1" applyFill="1" applyBorder="1" applyAlignment="1">
      <alignment vertical="top"/>
    </xf>
    <xf numFmtId="0" fontId="2" fillId="3" borderId="8" xfId="1" applyFont="1" applyFill="1" applyBorder="1" applyAlignment="1">
      <alignment vertical="center" wrapText="1"/>
    </xf>
    <xf numFmtId="0" fontId="2" fillId="3" borderId="9" xfId="1" applyFont="1" applyFill="1" applyBorder="1" applyAlignment="1">
      <alignment vertical="center" wrapText="1"/>
    </xf>
    <xf numFmtId="0" fontId="2" fillId="3" borderId="6" xfId="1" applyFont="1" applyFill="1" applyBorder="1" applyAlignment="1">
      <alignment horizontal="center" vertical="top" wrapText="1"/>
    </xf>
    <xf numFmtId="0" fontId="2" fillId="3" borderId="7" xfId="1" applyFont="1" applyFill="1" applyBorder="1" applyAlignment="1">
      <alignment horizontal="center" vertical="top" wrapText="1"/>
    </xf>
    <xf numFmtId="0" fontId="2" fillId="3" borderId="1" xfId="1" applyFont="1" applyFill="1" applyBorder="1" applyAlignment="1">
      <alignment horizontal="center" vertical="top" wrapText="1"/>
    </xf>
    <xf numFmtId="0" fontId="2" fillId="3" borderId="2" xfId="1" applyFont="1" applyFill="1" applyBorder="1" applyAlignment="1">
      <alignment horizontal="center" vertical="top" wrapText="1"/>
    </xf>
    <xf numFmtId="0" fontId="8" fillId="3" borderId="6" xfId="1" applyFont="1" applyFill="1" applyBorder="1" applyAlignment="1">
      <alignment horizontal="center" vertical="top" wrapText="1"/>
    </xf>
    <xf numFmtId="0" fontId="8" fillId="3" borderId="7" xfId="1" applyFont="1" applyFill="1" applyBorder="1" applyAlignment="1">
      <alignment horizontal="center" vertical="top" wrapText="1"/>
    </xf>
    <xf numFmtId="0" fontId="5" fillId="3" borderId="3" xfId="1" applyFont="1" applyFill="1" applyBorder="1" applyAlignment="1">
      <alignment horizontal="center" vertical="top" wrapText="1"/>
    </xf>
    <xf numFmtId="0" fontId="5" fillId="3" borderId="5" xfId="1" applyFont="1" applyFill="1" applyBorder="1" applyAlignment="1">
      <alignment horizontal="center" vertical="top" wrapText="1"/>
    </xf>
    <xf numFmtId="0" fontId="5" fillId="3" borderId="6" xfId="1" applyFont="1" applyFill="1" applyBorder="1" applyAlignment="1">
      <alignment horizontal="center" vertical="top" wrapText="1"/>
    </xf>
    <xf numFmtId="0" fontId="5" fillId="3" borderId="7" xfId="1" applyFont="1" applyFill="1" applyBorder="1" applyAlignment="1">
      <alignment horizontal="center" vertical="top" wrapText="1"/>
    </xf>
    <xf numFmtId="0" fontId="0" fillId="0" borderId="0" xfId="0" applyAlignment="1">
      <alignment horizontal="right" vertical="top"/>
    </xf>
    <xf numFmtId="0" fontId="2" fillId="3" borderId="3" xfId="1" applyFont="1" applyFill="1" applyBorder="1" applyAlignment="1">
      <alignment horizontal="center" vertical="top" wrapText="1"/>
    </xf>
    <xf numFmtId="0" fontId="2" fillId="3" borderId="5" xfId="1" applyFont="1" applyFill="1" applyBorder="1" applyAlignment="1">
      <alignment horizontal="center" vertical="top" wrapText="1"/>
    </xf>
  </cellXfs>
  <cellStyles count="3">
    <cellStyle name="Moeda" xfId="2" builtinId="4"/>
    <cellStyle name="Normal" xfId="0" builtinId="0"/>
    <cellStyle name="Normal 2" xfId="1" xr:uid="{606F906F-4171-409E-AFA5-07AD1A92EDDD}"/>
  </cellStyles>
  <dxfs count="0"/>
  <tableStyles count="0" defaultTableStyle="TableStyleMedium2" defaultPivotStyle="PivotStyleLight16"/>
  <colors>
    <mruColors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22413</xdr:rowOff>
    </xdr:from>
    <xdr:to>
      <xdr:col>0</xdr:col>
      <xdr:colOff>1981200</xdr:colOff>
      <xdr:row>0</xdr:row>
      <xdr:rowOff>773206</xdr:rowOff>
    </xdr:to>
    <xdr:sp macro="[0]!Macro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58EB920-6A79-48FD-A877-B50731D9EC13}"/>
            </a:ext>
          </a:extLst>
        </xdr:cNvPr>
        <xdr:cNvSpPr/>
      </xdr:nvSpPr>
      <xdr:spPr>
        <a:xfrm>
          <a:off x="0" y="22413"/>
          <a:ext cx="1981200" cy="750793"/>
        </a:xfrm>
        <a:prstGeom prst="roundRect">
          <a:avLst>
            <a:gd name="adj" fmla="val 25862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/>
            <a:t>CNAB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C6190-A169-47B8-84DC-299562B9A3CB}">
  <sheetPr codeName="Planilha5"/>
  <dimension ref="A1:F397"/>
  <sheetViews>
    <sheetView workbookViewId="0">
      <selection activeCell="B100" sqref="B100"/>
    </sheetView>
  </sheetViews>
  <sheetFormatPr defaultRowHeight="15"/>
  <cols>
    <col min="1" max="1" width="14.140625" bestFit="1" customWidth="1"/>
    <col min="2" max="2" width="85.42578125" bestFit="1" customWidth="1"/>
    <col min="3" max="3" width="9" bestFit="1" customWidth="1"/>
    <col min="4" max="5" width="0" hidden="1" customWidth="1"/>
    <col min="6" max="6" width="131.28515625" bestFit="1" customWidth="1"/>
  </cols>
  <sheetData>
    <row r="1" spans="1:6">
      <c r="A1" s="65" t="s">
        <v>226</v>
      </c>
      <c r="B1" s="66" t="s">
        <v>225</v>
      </c>
      <c r="C1" s="65" t="s">
        <v>224</v>
      </c>
      <c r="D1" s="66" t="s">
        <v>227</v>
      </c>
      <c r="E1" s="66" t="s">
        <v>228</v>
      </c>
      <c r="F1" s="67" t="s">
        <v>229</v>
      </c>
    </row>
    <row r="2" spans="1:6">
      <c r="A2" s="62">
        <v>1</v>
      </c>
      <c r="B2" s="68" t="s">
        <v>230</v>
      </c>
      <c r="C2" s="62">
        <v>0</v>
      </c>
      <c r="D2" s="69" t="s">
        <v>231</v>
      </c>
      <c r="E2" s="69" t="s">
        <v>232</v>
      </c>
      <c r="F2" s="63" t="s">
        <v>233</v>
      </c>
    </row>
    <row r="3" spans="1:6">
      <c r="A3" s="62">
        <v>70</v>
      </c>
      <c r="B3" s="68" t="s">
        <v>234</v>
      </c>
      <c r="C3" s="62">
        <v>208</v>
      </c>
      <c r="D3" s="69" t="s">
        <v>231</v>
      </c>
      <c r="E3" s="69" t="s">
        <v>232</v>
      </c>
      <c r="F3" s="63" t="s">
        <v>235</v>
      </c>
    </row>
    <row r="4" spans="1:6">
      <c r="A4" s="62" t="s">
        <v>237</v>
      </c>
      <c r="B4" s="68" t="s">
        <v>236</v>
      </c>
      <c r="C4" s="62">
        <v>38121</v>
      </c>
      <c r="D4" s="69" t="s">
        <v>238</v>
      </c>
      <c r="E4" s="69" t="s">
        <v>232</v>
      </c>
      <c r="F4" s="63" t="s">
        <v>239</v>
      </c>
    </row>
    <row r="5" spans="1:6">
      <c r="A5" s="62" t="s">
        <v>237</v>
      </c>
      <c r="B5" s="68" t="s">
        <v>240</v>
      </c>
      <c r="C5" s="62">
        <v>38166</v>
      </c>
      <c r="D5" s="69" t="s">
        <v>238</v>
      </c>
      <c r="E5" s="69" t="s">
        <v>232</v>
      </c>
      <c r="F5" s="63" t="s">
        <v>241</v>
      </c>
    </row>
    <row r="6" spans="1:6">
      <c r="A6" s="62">
        <v>539</v>
      </c>
      <c r="B6" s="68" t="s">
        <v>242</v>
      </c>
      <c r="C6" s="62">
        <v>122327</v>
      </c>
      <c r="D6" s="69" t="s">
        <v>238</v>
      </c>
      <c r="E6" s="69" t="s">
        <v>232</v>
      </c>
      <c r="F6" s="63" t="s">
        <v>243</v>
      </c>
    </row>
    <row r="7" spans="1:6">
      <c r="A7" s="62">
        <v>430</v>
      </c>
      <c r="B7" s="68" t="s">
        <v>244</v>
      </c>
      <c r="C7" s="62">
        <v>204963</v>
      </c>
      <c r="D7" s="69" t="s">
        <v>231</v>
      </c>
      <c r="E7" s="69" t="s">
        <v>232</v>
      </c>
      <c r="F7" s="64" t="s">
        <v>245</v>
      </c>
    </row>
    <row r="8" spans="1:6">
      <c r="A8" s="62">
        <v>272</v>
      </c>
      <c r="B8" s="68" t="s">
        <v>246</v>
      </c>
      <c r="C8" s="62">
        <v>250699</v>
      </c>
      <c r="D8" s="69" t="s">
        <v>238</v>
      </c>
      <c r="E8" s="69" t="s">
        <v>232</v>
      </c>
      <c r="F8" s="63" t="s">
        <v>247</v>
      </c>
    </row>
    <row r="9" spans="1:6">
      <c r="A9" s="62">
        <v>136</v>
      </c>
      <c r="B9" s="68" t="s">
        <v>248</v>
      </c>
      <c r="C9" s="62">
        <v>315557</v>
      </c>
      <c r="D9" s="69" t="s">
        <v>231</v>
      </c>
      <c r="E9" s="69" t="s">
        <v>232</v>
      </c>
      <c r="F9" s="64" t="s">
        <v>249</v>
      </c>
    </row>
    <row r="10" spans="1:6">
      <c r="A10" s="62">
        <v>407</v>
      </c>
      <c r="B10" s="68" t="s">
        <v>250</v>
      </c>
      <c r="C10" s="62">
        <v>329598</v>
      </c>
      <c r="D10" s="69" t="s">
        <v>238</v>
      </c>
      <c r="E10" s="69" t="s">
        <v>232</v>
      </c>
      <c r="F10" s="64" t="s">
        <v>251</v>
      </c>
    </row>
    <row r="11" spans="1:6">
      <c r="A11" s="62">
        <v>104</v>
      </c>
      <c r="B11" s="68" t="s">
        <v>252</v>
      </c>
      <c r="C11" s="62">
        <v>360305</v>
      </c>
      <c r="D11" s="69" t="s">
        <v>231</v>
      </c>
      <c r="E11" s="69" t="s">
        <v>232</v>
      </c>
      <c r="F11" s="63" t="s">
        <v>252</v>
      </c>
    </row>
    <row r="12" spans="1:6">
      <c r="A12" s="62" t="s">
        <v>237</v>
      </c>
      <c r="B12" s="68" t="s">
        <v>253</v>
      </c>
      <c r="C12" s="62">
        <v>394460</v>
      </c>
      <c r="D12" s="69" t="s">
        <v>238</v>
      </c>
      <c r="E12" s="69" t="s">
        <v>232</v>
      </c>
      <c r="F12" s="63" t="s">
        <v>254</v>
      </c>
    </row>
    <row r="13" spans="1:6">
      <c r="A13" s="62">
        <v>77</v>
      </c>
      <c r="B13" s="68" t="s">
        <v>255</v>
      </c>
      <c r="C13" s="62">
        <v>416968</v>
      </c>
      <c r="D13" s="69" t="s">
        <v>231</v>
      </c>
      <c r="E13" s="69" t="s">
        <v>232</v>
      </c>
      <c r="F13" s="63" t="s">
        <v>256</v>
      </c>
    </row>
    <row r="14" spans="1:6">
      <c r="A14" s="62">
        <v>423</v>
      </c>
      <c r="B14" s="68" t="s">
        <v>257</v>
      </c>
      <c r="C14" s="62">
        <v>460065</v>
      </c>
      <c r="D14" s="69" t="s">
        <v>238</v>
      </c>
      <c r="E14" s="69" t="s">
        <v>232</v>
      </c>
      <c r="F14" s="64" t="s">
        <v>258</v>
      </c>
    </row>
    <row r="15" spans="1:6">
      <c r="A15" s="62">
        <v>741</v>
      </c>
      <c r="B15" s="68" t="s">
        <v>259</v>
      </c>
      <c r="C15" s="62">
        <v>517645</v>
      </c>
      <c r="D15" s="69" t="s">
        <v>231</v>
      </c>
      <c r="E15" s="69" t="s">
        <v>232</v>
      </c>
      <c r="F15" s="63" t="s">
        <v>260</v>
      </c>
    </row>
    <row r="16" spans="1:6">
      <c r="A16" s="62">
        <v>330</v>
      </c>
      <c r="B16" s="68" t="s">
        <v>261</v>
      </c>
      <c r="C16" s="62">
        <v>556603</v>
      </c>
      <c r="D16" s="69" t="s">
        <v>238</v>
      </c>
      <c r="E16" s="69" t="s">
        <v>232</v>
      </c>
      <c r="F16" s="63" t="s">
        <v>262</v>
      </c>
    </row>
    <row r="17" spans="1:6">
      <c r="A17" s="62">
        <v>534</v>
      </c>
      <c r="B17" s="68" t="s">
        <v>263</v>
      </c>
      <c r="C17" s="62">
        <v>714671</v>
      </c>
      <c r="D17" s="69" t="s">
        <v>238</v>
      </c>
      <c r="E17" s="69" t="s">
        <v>232</v>
      </c>
      <c r="F17" s="64" t="s">
        <v>264</v>
      </c>
    </row>
    <row r="18" spans="1:6">
      <c r="A18" s="62">
        <v>743</v>
      </c>
      <c r="B18" s="68" t="s">
        <v>265</v>
      </c>
      <c r="C18" s="62">
        <v>795423</v>
      </c>
      <c r="D18" s="69" t="s">
        <v>231</v>
      </c>
      <c r="E18" s="69" t="s">
        <v>232</v>
      </c>
      <c r="F18" s="63" t="s">
        <v>266</v>
      </c>
    </row>
    <row r="19" spans="1:6">
      <c r="A19" s="62">
        <v>100</v>
      </c>
      <c r="B19" s="68" t="s">
        <v>267</v>
      </c>
      <c r="C19" s="62">
        <v>806535</v>
      </c>
      <c r="D19" s="69" t="s">
        <v>238</v>
      </c>
      <c r="E19" s="69" t="s">
        <v>232</v>
      </c>
      <c r="F19" s="63" t="s">
        <v>268</v>
      </c>
    </row>
    <row r="20" spans="1:6">
      <c r="A20" s="62">
        <v>541</v>
      </c>
      <c r="B20" s="68" t="s">
        <v>269</v>
      </c>
      <c r="C20" s="62">
        <v>954288</v>
      </c>
      <c r="D20" s="69" t="s">
        <v>238</v>
      </c>
      <c r="E20" s="69" t="s">
        <v>232</v>
      </c>
      <c r="F20" s="63" t="s">
        <v>270</v>
      </c>
    </row>
    <row r="21" spans="1:6">
      <c r="A21" s="62">
        <v>96</v>
      </c>
      <c r="B21" s="68" t="s">
        <v>271</v>
      </c>
      <c r="C21" s="62">
        <v>997185</v>
      </c>
      <c r="D21" s="69" t="s">
        <v>238</v>
      </c>
      <c r="E21" s="69" t="s">
        <v>232</v>
      </c>
      <c r="F21" s="63" t="s">
        <v>272</v>
      </c>
    </row>
    <row r="22" spans="1:6">
      <c r="A22" s="62">
        <v>747</v>
      </c>
      <c r="B22" s="68" t="s">
        <v>273</v>
      </c>
      <c r="C22" s="62">
        <v>1023570</v>
      </c>
      <c r="D22" s="69" t="s">
        <v>238</v>
      </c>
      <c r="E22" s="69" t="s">
        <v>232</v>
      </c>
      <c r="F22" s="63" t="s">
        <v>274</v>
      </c>
    </row>
    <row r="23" spans="1:6">
      <c r="A23" s="62">
        <v>362</v>
      </c>
      <c r="B23" s="68" t="s">
        <v>275</v>
      </c>
      <c r="C23" s="62">
        <v>1027058</v>
      </c>
      <c r="D23" s="69" t="s">
        <v>238</v>
      </c>
      <c r="E23" s="69" t="s">
        <v>232</v>
      </c>
      <c r="F23" s="64" t="s">
        <v>276</v>
      </c>
    </row>
    <row r="24" spans="1:6">
      <c r="A24" s="62">
        <v>322</v>
      </c>
      <c r="B24" s="68" t="s">
        <v>277</v>
      </c>
      <c r="C24" s="62">
        <v>1073966</v>
      </c>
      <c r="D24" s="69" t="s">
        <v>231</v>
      </c>
      <c r="E24" s="69" t="s">
        <v>232</v>
      </c>
      <c r="F24" s="64" t="s">
        <v>278</v>
      </c>
    </row>
    <row r="25" spans="1:6">
      <c r="A25" s="62">
        <v>748</v>
      </c>
      <c r="B25" s="68" t="s">
        <v>279</v>
      </c>
      <c r="C25" s="62">
        <v>1181521</v>
      </c>
      <c r="D25" s="69" t="s">
        <v>231</v>
      </c>
      <c r="E25" s="69" t="s">
        <v>232</v>
      </c>
      <c r="F25" s="63" t="s">
        <v>280</v>
      </c>
    </row>
    <row r="26" spans="1:6">
      <c r="A26" s="62">
        <v>350</v>
      </c>
      <c r="B26" s="68" t="s">
        <v>281</v>
      </c>
      <c r="C26" s="62">
        <v>1330387</v>
      </c>
      <c r="D26" s="69" t="s">
        <v>238</v>
      </c>
      <c r="E26" s="69" t="s">
        <v>232</v>
      </c>
      <c r="F26" s="64" t="s">
        <v>282</v>
      </c>
    </row>
    <row r="27" spans="1:6">
      <c r="A27" s="62">
        <v>752</v>
      </c>
      <c r="B27" s="68" t="s">
        <v>283</v>
      </c>
      <c r="C27" s="62">
        <v>1522368</v>
      </c>
      <c r="D27" s="69" t="s">
        <v>231</v>
      </c>
      <c r="E27" s="69" t="s">
        <v>232</v>
      </c>
      <c r="F27" s="63" t="s">
        <v>284</v>
      </c>
    </row>
    <row r="28" spans="1:6">
      <c r="A28" s="62">
        <v>379</v>
      </c>
      <c r="B28" s="68" t="s">
        <v>285</v>
      </c>
      <c r="C28" s="62">
        <v>1658426</v>
      </c>
      <c r="D28" s="69" t="s">
        <v>238</v>
      </c>
      <c r="E28" s="69" t="s">
        <v>232</v>
      </c>
      <c r="F28" s="68" t="s">
        <v>286</v>
      </c>
    </row>
    <row r="29" spans="1:6">
      <c r="A29" s="62">
        <v>399</v>
      </c>
      <c r="B29" s="68" t="s">
        <v>287</v>
      </c>
      <c r="C29" s="62">
        <v>1701201</v>
      </c>
      <c r="D29" s="69" t="s">
        <v>238</v>
      </c>
      <c r="E29" s="69" t="s">
        <v>232</v>
      </c>
      <c r="F29" s="68" t="s">
        <v>288</v>
      </c>
    </row>
    <row r="30" spans="1:6">
      <c r="A30" s="62">
        <v>378</v>
      </c>
      <c r="B30" s="68" t="s">
        <v>289</v>
      </c>
      <c r="C30" s="62">
        <v>1852137</v>
      </c>
      <c r="D30" s="69" t="s">
        <v>238</v>
      </c>
      <c r="E30" s="69" t="s">
        <v>232</v>
      </c>
      <c r="F30" s="74" t="s">
        <v>999</v>
      </c>
    </row>
    <row r="31" spans="1:6">
      <c r="A31" s="62">
        <v>413</v>
      </c>
      <c r="B31" s="68" t="s">
        <v>290</v>
      </c>
      <c r="C31" s="62">
        <v>1858774</v>
      </c>
      <c r="D31" s="69" t="s">
        <v>238</v>
      </c>
      <c r="E31" s="69" t="s">
        <v>232</v>
      </c>
      <c r="F31" s="68" t="s">
        <v>291</v>
      </c>
    </row>
    <row r="32" spans="1:6">
      <c r="A32" s="62">
        <v>756</v>
      </c>
      <c r="B32" s="68" t="s">
        <v>292</v>
      </c>
      <c r="C32" s="62">
        <v>2038232</v>
      </c>
      <c r="D32" s="69" t="s">
        <v>231</v>
      </c>
      <c r="E32" s="69" t="s">
        <v>232</v>
      </c>
      <c r="F32" s="68" t="s">
        <v>293</v>
      </c>
    </row>
    <row r="33" spans="1:6">
      <c r="A33" s="62">
        <v>360</v>
      </c>
      <c r="B33" s="68" t="s">
        <v>294</v>
      </c>
      <c r="C33" s="62">
        <v>2276653</v>
      </c>
      <c r="D33" s="69" t="s">
        <v>238</v>
      </c>
      <c r="E33" s="69" t="s">
        <v>232</v>
      </c>
      <c r="F33" s="68" t="s">
        <v>295</v>
      </c>
    </row>
    <row r="34" spans="1:6">
      <c r="A34" s="62">
        <v>757</v>
      </c>
      <c r="B34" s="68" t="s">
        <v>296</v>
      </c>
      <c r="C34" s="62">
        <v>2318507</v>
      </c>
      <c r="D34" s="69" t="s">
        <v>231</v>
      </c>
      <c r="E34" s="69" t="s">
        <v>232</v>
      </c>
      <c r="F34" s="68" t="s">
        <v>297</v>
      </c>
    </row>
    <row r="35" spans="1:6">
      <c r="A35" s="62">
        <v>102</v>
      </c>
      <c r="B35" s="68" t="s">
        <v>298</v>
      </c>
      <c r="C35" s="62">
        <v>2332886</v>
      </c>
      <c r="D35" s="69" t="s">
        <v>238</v>
      </c>
      <c r="E35" s="69" t="s">
        <v>232</v>
      </c>
      <c r="F35" s="68" t="s">
        <v>299</v>
      </c>
    </row>
    <row r="36" spans="1:6">
      <c r="A36" s="62">
        <v>84</v>
      </c>
      <c r="B36" s="68" t="s">
        <v>300</v>
      </c>
      <c r="C36" s="62">
        <v>2398976</v>
      </c>
      <c r="D36" s="69" t="s">
        <v>231</v>
      </c>
      <c r="E36" s="69" t="s">
        <v>232</v>
      </c>
      <c r="F36" s="68" t="s">
        <v>301</v>
      </c>
    </row>
    <row r="37" spans="1:6">
      <c r="A37" s="62">
        <v>555</v>
      </c>
      <c r="B37" s="68" t="s">
        <v>302</v>
      </c>
      <c r="C37" s="62">
        <v>2682287</v>
      </c>
      <c r="D37" s="69" t="s">
        <v>238</v>
      </c>
      <c r="E37" s="69" t="s">
        <v>232</v>
      </c>
      <c r="F37" s="68" t="s">
        <v>303</v>
      </c>
    </row>
    <row r="38" spans="1:6">
      <c r="A38" s="62">
        <v>180</v>
      </c>
      <c r="B38" s="68" t="s">
        <v>304</v>
      </c>
      <c r="C38" s="62">
        <v>2685483</v>
      </c>
      <c r="D38" s="69" t="s">
        <v>238</v>
      </c>
      <c r="E38" s="69" t="s">
        <v>232</v>
      </c>
      <c r="F38" s="68" t="s">
        <v>305</v>
      </c>
    </row>
    <row r="39" spans="1:6">
      <c r="A39" s="62">
        <v>66</v>
      </c>
      <c r="B39" s="68" t="s">
        <v>306</v>
      </c>
      <c r="C39" s="62">
        <v>2801938</v>
      </c>
      <c r="D39" s="69" t="s">
        <v>238</v>
      </c>
      <c r="E39" s="69" t="s">
        <v>232</v>
      </c>
      <c r="F39" s="68" t="s">
        <v>307</v>
      </c>
    </row>
    <row r="40" spans="1:6">
      <c r="A40" s="62">
        <v>15</v>
      </c>
      <c r="B40" s="68" t="s">
        <v>308</v>
      </c>
      <c r="C40" s="62">
        <v>2819125</v>
      </c>
      <c r="D40" s="69" t="s">
        <v>238</v>
      </c>
      <c r="E40" s="69" t="s">
        <v>232</v>
      </c>
      <c r="F40" s="68" t="s">
        <v>309</v>
      </c>
    </row>
    <row r="41" spans="1:6">
      <c r="A41" s="62">
        <v>143</v>
      </c>
      <c r="B41" s="68" t="s">
        <v>310</v>
      </c>
      <c r="C41" s="62">
        <v>2992317</v>
      </c>
      <c r="D41" s="69" t="s">
        <v>238</v>
      </c>
      <c r="E41" s="69" t="s">
        <v>232</v>
      </c>
      <c r="F41" s="68" t="s">
        <v>311</v>
      </c>
    </row>
    <row r="42" spans="1:6">
      <c r="A42" s="62" t="s">
        <v>237</v>
      </c>
      <c r="B42" s="68" t="s">
        <v>312</v>
      </c>
      <c r="C42" s="62">
        <v>2992335</v>
      </c>
      <c r="D42" s="69" t="s">
        <v>238</v>
      </c>
      <c r="E42" s="69" t="s">
        <v>232</v>
      </c>
      <c r="F42" s="68" t="s">
        <v>313</v>
      </c>
    </row>
    <row r="43" spans="1:6">
      <c r="A43" s="62">
        <v>62</v>
      </c>
      <c r="B43" s="68" t="s">
        <v>314</v>
      </c>
      <c r="C43" s="62">
        <v>3012230</v>
      </c>
      <c r="D43" s="69" t="s">
        <v>231</v>
      </c>
      <c r="E43" s="69" t="s">
        <v>232</v>
      </c>
      <c r="F43" s="68" t="s">
        <v>315</v>
      </c>
    </row>
    <row r="44" spans="1:6">
      <c r="A44" s="62">
        <v>74</v>
      </c>
      <c r="B44" s="68" t="s">
        <v>316</v>
      </c>
      <c r="C44" s="62">
        <v>3017677</v>
      </c>
      <c r="D44" s="69" t="s">
        <v>231</v>
      </c>
      <c r="E44" s="69" t="s">
        <v>232</v>
      </c>
      <c r="F44" s="68" t="s">
        <v>317</v>
      </c>
    </row>
    <row r="45" spans="1:6">
      <c r="A45" s="62">
        <v>99</v>
      </c>
      <c r="B45" s="68" t="s">
        <v>318</v>
      </c>
      <c r="C45" s="62">
        <v>3046391</v>
      </c>
      <c r="D45" s="69" t="s">
        <v>231</v>
      </c>
      <c r="E45" s="69" t="s">
        <v>232</v>
      </c>
      <c r="F45" s="68" t="s">
        <v>319</v>
      </c>
    </row>
    <row r="46" spans="1:6">
      <c r="A46" s="62">
        <v>387</v>
      </c>
      <c r="B46" s="68" t="s">
        <v>320</v>
      </c>
      <c r="C46" s="62">
        <v>3215790</v>
      </c>
      <c r="D46" s="69" t="s">
        <v>238</v>
      </c>
      <c r="E46" s="69" t="s">
        <v>232</v>
      </c>
      <c r="F46" s="68" t="s">
        <v>321</v>
      </c>
    </row>
    <row r="47" spans="1:6">
      <c r="A47" s="62">
        <v>326</v>
      </c>
      <c r="B47" s="68" t="s">
        <v>322</v>
      </c>
      <c r="C47" s="62">
        <v>3311443</v>
      </c>
      <c r="D47" s="69" t="s">
        <v>238</v>
      </c>
      <c r="E47" s="69" t="s">
        <v>232</v>
      </c>
      <c r="F47" s="68" t="s">
        <v>323</v>
      </c>
    </row>
    <row r="48" spans="1:6">
      <c r="A48" s="62">
        <v>25</v>
      </c>
      <c r="B48" s="68" t="s">
        <v>324</v>
      </c>
      <c r="C48" s="62">
        <v>3323840</v>
      </c>
      <c r="D48" s="69" t="s">
        <v>231</v>
      </c>
      <c r="E48" s="69" t="s">
        <v>232</v>
      </c>
      <c r="F48" s="68" t="s">
        <v>325</v>
      </c>
    </row>
    <row r="49" spans="1:6">
      <c r="A49" s="62">
        <v>75</v>
      </c>
      <c r="B49" s="68" t="s">
        <v>326</v>
      </c>
      <c r="C49" s="62">
        <v>3532415</v>
      </c>
      <c r="D49" s="69" t="s">
        <v>238</v>
      </c>
      <c r="E49" s="69" t="s">
        <v>232</v>
      </c>
      <c r="F49" s="68" t="s">
        <v>327</v>
      </c>
    </row>
    <row r="50" spans="1:6">
      <c r="A50" s="62">
        <v>40</v>
      </c>
      <c r="B50" s="68" t="s">
        <v>328</v>
      </c>
      <c r="C50" s="62">
        <v>3609817</v>
      </c>
      <c r="D50" s="69" t="s">
        <v>238</v>
      </c>
      <c r="E50" s="69" t="s">
        <v>232</v>
      </c>
      <c r="F50" s="68" t="s">
        <v>329</v>
      </c>
    </row>
    <row r="51" spans="1:6">
      <c r="A51" s="62">
        <v>307</v>
      </c>
      <c r="B51" s="68" t="s">
        <v>330</v>
      </c>
      <c r="C51" s="62">
        <v>3751794</v>
      </c>
      <c r="D51" s="69" t="s">
        <v>238</v>
      </c>
      <c r="E51" s="69" t="s">
        <v>232</v>
      </c>
      <c r="F51" s="68" t="s">
        <v>331</v>
      </c>
    </row>
    <row r="52" spans="1:6">
      <c r="A52" s="62">
        <v>385</v>
      </c>
      <c r="B52" s="68" t="s">
        <v>332</v>
      </c>
      <c r="C52" s="62">
        <v>3844699</v>
      </c>
      <c r="D52" s="69" t="s">
        <v>238</v>
      </c>
      <c r="E52" s="69" t="s">
        <v>232</v>
      </c>
      <c r="F52" s="68" t="s">
        <v>333</v>
      </c>
    </row>
    <row r="53" spans="1:6">
      <c r="A53" s="62">
        <v>425</v>
      </c>
      <c r="B53" s="68" t="s">
        <v>334</v>
      </c>
      <c r="C53" s="62">
        <v>3881423</v>
      </c>
      <c r="D53" s="69" t="s">
        <v>238</v>
      </c>
      <c r="E53" s="69" t="s">
        <v>232</v>
      </c>
      <c r="F53" s="68" t="s">
        <v>335</v>
      </c>
    </row>
    <row r="54" spans="1:6">
      <c r="A54" s="62">
        <v>190</v>
      </c>
      <c r="B54" s="68" t="s">
        <v>336</v>
      </c>
      <c r="C54" s="62">
        <v>3973814</v>
      </c>
      <c r="D54" s="69" t="s">
        <v>238</v>
      </c>
      <c r="E54" s="69" t="s">
        <v>232</v>
      </c>
      <c r="F54" s="68" t="s">
        <v>337</v>
      </c>
    </row>
    <row r="55" spans="1:6">
      <c r="A55" s="62">
        <v>296</v>
      </c>
      <c r="B55" s="68" t="s">
        <v>338</v>
      </c>
      <c r="C55" s="62">
        <v>4062902</v>
      </c>
      <c r="D55" s="69" t="s">
        <v>238</v>
      </c>
      <c r="E55" s="69" t="s">
        <v>232</v>
      </c>
      <c r="F55" s="68" t="s">
        <v>338</v>
      </c>
    </row>
    <row r="56" spans="1:6">
      <c r="A56" s="62">
        <v>63</v>
      </c>
      <c r="B56" s="68" t="s">
        <v>339</v>
      </c>
      <c r="C56" s="62">
        <v>4184779</v>
      </c>
      <c r="D56" s="69" t="s">
        <v>231</v>
      </c>
      <c r="E56" s="69" t="s">
        <v>232</v>
      </c>
      <c r="F56" s="68" t="s">
        <v>340</v>
      </c>
    </row>
    <row r="57" spans="1:6">
      <c r="A57" s="62">
        <v>191</v>
      </c>
      <c r="B57" s="68" t="s">
        <v>341</v>
      </c>
      <c r="C57" s="62">
        <v>4257795</v>
      </c>
      <c r="D57" s="69" t="s">
        <v>238</v>
      </c>
      <c r="E57" s="69" t="s">
        <v>232</v>
      </c>
      <c r="F57" s="68" t="s">
        <v>342</v>
      </c>
    </row>
    <row r="58" spans="1:6">
      <c r="A58" s="62">
        <v>382</v>
      </c>
      <c r="B58" s="68" t="s">
        <v>343</v>
      </c>
      <c r="C58" s="62">
        <v>4307598</v>
      </c>
      <c r="D58" s="69" t="s">
        <v>238</v>
      </c>
      <c r="E58" s="69" t="s">
        <v>232</v>
      </c>
      <c r="F58" s="68" t="s">
        <v>344</v>
      </c>
    </row>
    <row r="59" spans="1:6">
      <c r="A59" s="62">
        <v>64</v>
      </c>
      <c r="B59" s="68" t="s">
        <v>345</v>
      </c>
      <c r="C59" s="62">
        <v>4332281</v>
      </c>
      <c r="D59" s="69" t="s">
        <v>238</v>
      </c>
      <c r="E59" s="69" t="s">
        <v>232</v>
      </c>
      <c r="F59" s="68" t="s">
        <v>346</v>
      </c>
    </row>
    <row r="60" spans="1:6">
      <c r="A60" s="62" t="s">
        <v>237</v>
      </c>
      <c r="B60" s="68" t="s">
        <v>347</v>
      </c>
      <c r="C60" s="62">
        <v>4391007</v>
      </c>
      <c r="D60" s="69" t="s">
        <v>238</v>
      </c>
      <c r="E60" s="69" t="s">
        <v>232</v>
      </c>
      <c r="F60" s="68" t="s">
        <v>313</v>
      </c>
    </row>
    <row r="61" spans="1:6">
      <c r="A61" s="62">
        <v>97</v>
      </c>
      <c r="B61" s="68" t="s">
        <v>348</v>
      </c>
      <c r="C61" s="62">
        <v>4632856</v>
      </c>
      <c r="D61" s="69" t="s">
        <v>231</v>
      </c>
      <c r="E61" s="69" t="s">
        <v>232</v>
      </c>
      <c r="F61" s="68" t="s">
        <v>349</v>
      </c>
    </row>
    <row r="62" spans="1:6">
      <c r="A62" s="62">
        <v>16</v>
      </c>
      <c r="B62" s="68" t="s">
        <v>350</v>
      </c>
      <c r="C62" s="62">
        <v>4715685</v>
      </c>
      <c r="D62" s="69" t="s">
        <v>238</v>
      </c>
      <c r="E62" s="69" t="s">
        <v>232</v>
      </c>
      <c r="F62" s="68" t="s">
        <v>351</v>
      </c>
    </row>
    <row r="63" spans="1:6">
      <c r="A63" s="62">
        <v>299</v>
      </c>
      <c r="B63" s="68" t="s">
        <v>352</v>
      </c>
      <c r="C63" s="62">
        <v>4814563</v>
      </c>
      <c r="D63" s="69" t="s">
        <v>238</v>
      </c>
      <c r="E63" s="69" t="s">
        <v>232</v>
      </c>
      <c r="F63" s="68" t="s">
        <v>353</v>
      </c>
    </row>
    <row r="64" spans="1:6">
      <c r="A64" s="62">
        <v>471</v>
      </c>
      <c r="B64" s="68" t="s">
        <v>354</v>
      </c>
      <c r="C64" s="62">
        <v>4831810</v>
      </c>
      <c r="D64" s="69" t="s">
        <v>238</v>
      </c>
      <c r="E64" s="69" t="s">
        <v>232</v>
      </c>
      <c r="F64" s="68" t="s">
        <v>355</v>
      </c>
    </row>
    <row r="65" spans="1:6">
      <c r="A65" s="62">
        <v>540</v>
      </c>
      <c r="B65" s="68" t="s">
        <v>356</v>
      </c>
      <c r="C65" s="62">
        <v>4849745</v>
      </c>
      <c r="D65" s="69" t="s">
        <v>238</v>
      </c>
      <c r="E65" s="69" t="s">
        <v>232</v>
      </c>
      <c r="F65" s="68" t="s">
        <v>357</v>
      </c>
    </row>
    <row r="66" spans="1:6">
      <c r="A66" s="62">
        <v>468</v>
      </c>
      <c r="B66" s="68" t="s">
        <v>358</v>
      </c>
      <c r="C66" s="62">
        <v>4862600</v>
      </c>
      <c r="D66" s="69" t="s">
        <v>238</v>
      </c>
      <c r="E66" s="69" t="s">
        <v>232</v>
      </c>
      <c r="F66" s="68" t="s">
        <v>359</v>
      </c>
    </row>
    <row r="67" spans="1:6">
      <c r="A67" s="62">
        <v>12</v>
      </c>
      <c r="B67" s="68" t="s">
        <v>360</v>
      </c>
      <c r="C67" s="62">
        <v>4866275</v>
      </c>
      <c r="D67" s="69" t="s">
        <v>238</v>
      </c>
      <c r="E67" s="69" t="s">
        <v>232</v>
      </c>
      <c r="F67" s="68" t="s">
        <v>361</v>
      </c>
    </row>
    <row r="68" spans="1:6">
      <c r="A68" s="62">
        <v>3</v>
      </c>
      <c r="B68" s="68" t="s">
        <v>362</v>
      </c>
      <c r="C68" s="62">
        <v>4902979</v>
      </c>
      <c r="D68" s="69" t="s">
        <v>231</v>
      </c>
      <c r="E68" s="69" t="s">
        <v>232</v>
      </c>
      <c r="F68" s="68" t="s">
        <v>363</v>
      </c>
    </row>
    <row r="69" spans="1:6">
      <c r="A69" s="62">
        <v>60</v>
      </c>
      <c r="B69" s="68" t="s">
        <v>364</v>
      </c>
      <c r="C69" s="62">
        <v>4913129</v>
      </c>
      <c r="D69" s="69" t="s">
        <v>238</v>
      </c>
      <c r="E69" s="69" t="s">
        <v>365</v>
      </c>
      <c r="F69" s="68" t="s">
        <v>366</v>
      </c>
    </row>
    <row r="70" spans="1:6">
      <c r="A70" s="62">
        <v>37</v>
      </c>
      <c r="B70" s="68" t="s">
        <v>367</v>
      </c>
      <c r="C70" s="62">
        <v>4913711</v>
      </c>
      <c r="D70" s="69" t="s">
        <v>231</v>
      </c>
      <c r="E70" s="69" t="s">
        <v>232</v>
      </c>
      <c r="F70" s="68" t="s">
        <v>368</v>
      </c>
    </row>
    <row r="71" spans="1:6">
      <c r="A71" s="62">
        <v>359</v>
      </c>
      <c r="B71" s="68" t="s">
        <v>369</v>
      </c>
      <c r="C71" s="62">
        <v>5351887</v>
      </c>
      <c r="D71" s="69" t="s">
        <v>238</v>
      </c>
      <c r="E71" s="69" t="s">
        <v>232</v>
      </c>
      <c r="F71" s="68" t="s">
        <v>370</v>
      </c>
    </row>
    <row r="72" spans="1:6">
      <c r="A72" s="62">
        <v>159</v>
      </c>
      <c r="B72" s="68" t="s">
        <v>371</v>
      </c>
      <c r="C72" s="62">
        <v>5442029</v>
      </c>
      <c r="D72" s="69" t="s">
        <v>238</v>
      </c>
      <c r="E72" s="69" t="s">
        <v>232</v>
      </c>
      <c r="F72" s="68" t="s">
        <v>372</v>
      </c>
    </row>
    <row r="73" spans="1:6">
      <c r="A73" s="62">
        <v>85</v>
      </c>
      <c r="B73" s="68" t="s">
        <v>373</v>
      </c>
      <c r="C73" s="62">
        <v>5463212</v>
      </c>
      <c r="D73" s="69" t="s">
        <v>231</v>
      </c>
      <c r="E73" s="69" t="s">
        <v>232</v>
      </c>
      <c r="F73" s="68" t="s">
        <v>374</v>
      </c>
    </row>
    <row r="74" spans="1:6">
      <c r="A74" s="62">
        <v>400</v>
      </c>
      <c r="B74" s="68" t="s">
        <v>375</v>
      </c>
      <c r="C74" s="62">
        <v>5491616</v>
      </c>
      <c r="D74" s="69" t="s">
        <v>238</v>
      </c>
      <c r="E74" s="69" t="s">
        <v>232</v>
      </c>
      <c r="F74" s="68" t="s">
        <v>376</v>
      </c>
    </row>
    <row r="75" spans="1:6">
      <c r="A75" s="62">
        <v>429</v>
      </c>
      <c r="B75" s="68" t="s">
        <v>377</v>
      </c>
      <c r="C75" s="62">
        <v>5676026</v>
      </c>
      <c r="D75" s="69" t="s">
        <v>238</v>
      </c>
      <c r="E75" s="69" t="s">
        <v>232</v>
      </c>
      <c r="F75" s="68" t="s">
        <v>378</v>
      </c>
    </row>
    <row r="76" spans="1:6">
      <c r="A76" s="62">
        <v>410</v>
      </c>
      <c r="B76" s="68" t="s">
        <v>379</v>
      </c>
      <c r="C76" s="62">
        <v>5684234</v>
      </c>
      <c r="D76" s="69" t="s">
        <v>238</v>
      </c>
      <c r="E76" s="69" t="s">
        <v>232</v>
      </c>
      <c r="F76" s="68" t="s">
        <v>380</v>
      </c>
    </row>
    <row r="77" spans="1:6">
      <c r="A77" s="62">
        <v>328</v>
      </c>
      <c r="B77" s="68" t="s">
        <v>381</v>
      </c>
      <c r="C77" s="62">
        <v>5841967</v>
      </c>
      <c r="D77" s="69" t="s">
        <v>238</v>
      </c>
      <c r="E77" s="69" t="s">
        <v>232</v>
      </c>
      <c r="F77" s="68" t="s">
        <v>382</v>
      </c>
    </row>
    <row r="78" spans="1:6">
      <c r="A78" s="62">
        <v>548</v>
      </c>
      <c r="B78" s="68" t="s">
        <v>383</v>
      </c>
      <c r="C78" s="62">
        <v>6249129</v>
      </c>
      <c r="D78" s="69" t="s">
        <v>238</v>
      </c>
      <c r="E78" s="69" t="s">
        <v>232</v>
      </c>
      <c r="F78" s="68" t="s">
        <v>384</v>
      </c>
    </row>
    <row r="79" spans="1:6">
      <c r="A79" s="62">
        <v>36</v>
      </c>
      <c r="B79" s="68" t="s">
        <v>385</v>
      </c>
      <c r="C79" s="62">
        <v>6271464</v>
      </c>
      <c r="D79" s="69" t="s">
        <v>231</v>
      </c>
      <c r="E79" s="69" t="s">
        <v>232</v>
      </c>
      <c r="F79" s="68" t="s">
        <v>386</v>
      </c>
    </row>
    <row r="80" spans="1:6">
      <c r="A80" s="62">
        <v>469</v>
      </c>
      <c r="B80" s="68" t="s">
        <v>387</v>
      </c>
      <c r="C80" s="62">
        <v>7138049</v>
      </c>
      <c r="D80" s="69" t="s">
        <v>238</v>
      </c>
      <c r="E80" s="69" t="s">
        <v>232</v>
      </c>
      <c r="F80" s="68" t="s">
        <v>388</v>
      </c>
    </row>
    <row r="81" spans="1:6">
      <c r="A81" s="62">
        <v>394</v>
      </c>
      <c r="B81" s="68" t="s">
        <v>389</v>
      </c>
      <c r="C81" s="62">
        <v>7207996</v>
      </c>
      <c r="D81" s="69" t="s">
        <v>231</v>
      </c>
      <c r="E81" s="69" t="s">
        <v>232</v>
      </c>
      <c r="F81" s="68" t="s">
        <v>390</v>
      </c>
    </row>
    <row r="82" spans="1:6">
      <c r="A82" s="62">
        <v>4</v>
      </c>
      <c r="B82" s="68" t="s">
        <v>391</v>
      </c>
      <c r="C82" s="62">
        <v>7237373</v>
      </c>
      <c r="D82" s="69" t="s">
        <v>231</v>
      </c>
      <c r="E82" s="69" t="s">
        <v>232</v>
      </c>
      <c r="F82" s="68" t="s">
        <v>392</v>
      </c>
    </row>
    <row r="83" spans="1:6">
      <c r="A83" s="62">
        <v>458</v>
      </c>
      <c r="B83" s="68" t="s">
        <v>393</v>
      </c>
      <c r="C83" s="62">
        <v>7253654</v>
      </c>
      <c r="D83" s="69" t="s">
        <v>238</v>
      </c>
      <c r="E83" s="69" t="s">
        <v>232</v>
      </c>
      <c r="F83" s="68" t="s">
        <v>394</v>
      </c>
    </row>
    <row r="84" spans="1:6">
      <c r="A84" s="62">
        <v>320</v>
      </c>
      <c r="B84" s="68" t="s">
        <v>395</v>
      </c>
      <c r="C84" s="62">
        <v>7450604</v>
      </c>
      <c r="D84" s="69" t="s">
        <v>231</v>
      </c>
      <c r="E84" s="69" t="s">
        <v>232</v>
      </c>
      <c r="F84" s="68" t="s">
        <v>396</v>
      </c>
    </row>
    <row r="85" spans="1:6">
      <c r="A85" s="62">
        <v>189</v>
      </c>
      <c r="B85" s="68" t="s">
        <v>397</v>
      </c>
      <c r="C85" s="62">
        <v>7512441</v>
      </c>
      <c r="D85" s="69" t="s">
        <v>238</v>
      </c>
      <c r="E85" s="69" t="s">
        <v>232</v>
      </c>
      <c r="F85" s="68" t="s">
        <v>398</v>
      </c>
    </row>
    <row r="86" spans="1:6">
      <c r="A86" s="62">
        <v>105</v>
      </c>
      <c r="B86" s="68" t="s">
        <v>399</v>
      </c>
      <c r="C86" s="62">
        <v>7652226</v>
      </c>
      <c r="D86" s="69" t="s">
        <v>238</v>
      </c>
      <c r="E86" s="69" t="s">
        <v>232</v>
      </c>
      <c r="F86" s="68" t="s">
        <v>400</v>
      </c>
    </row>
    <row r="87" spans="1:6">
      <c r="A87" s="62">
        <v>76</v>
      </c>
      <c r="B87" s="68" t="s">
        <v>401</v>
      </c>
      <c r="C87" s="62">
        <v>7656500</v>
      </c>
      <c r="D87" s="69" t="s">
        <v>238</v>
      </c>
      <c r="E87" s="69" t="s">
        <v>232</v>
      </c>
      <c r="F87" s="68" t="s">
        <v>402</v>
      </c>
    </row>
    <row r="88" spans="1:6">
      <c r="A88" s="62">
        <v>82</v>
      </c>
      <c r="B88" s="68" t="s">
        <v>403</v>
      </c>
      <c r="C88" s="62">
        <v>7679404</v>
      </c>
      <c r="D88" s="69" t="s">
        <v>238</v>
      </c>
      <c r="E88" s="69" t="s">
        <v>232</v>
      </c>
      <c r="F88" s="68" t="s">
        <v>403</v>
      </c>
    </row>
    <row r="89" spans="1:6">
      <c r="A89" s="62">
        <v>312</v>
      </c>
      <c r="B89" s="68" t="s">
        <v>404</v>
      </c>
      <c r="C89" s="62">
        <v>7693858</v>
      </c>
      <c r="D89" s="69" t="s">
        <v>238</v>
      </c>
      <c r="E89" s="69" t="s">
        <v>232</v>
      </c>
      <c r="F89" s="68" t="s">
        <v>405</v>
      </c>
    </row>
    <row r="90" spans="1:6">
      <c r="A90" s="62">
        <v>195</v>
      </c>
      <c r="B90" s="68" t="s">
        <v>406</v>
      </c>
      <c r="C90" s="62">
        <v>7799277</v>
      </c>
      <c r="D90" s="69" t="s">
        <v>238</v>
      </c>
      <c r="E90" s="69" t="s">
        <v>232</v>
      </c>
      <c r="F90" s="68" t="s">
        <v>407</v>
      </c>
    </row>
    <row r="91" spans="1:6">
      <c r="A91" s="62">
        <v>93</v>
      </c>
      <c r="B91" s="68" t="s">
        <v>408</v>
      </c>
      <c r="C91" s="62">
        <v>7945233</v>
      </c>
      <c r="D91" s="69" t="s">
        <v>238</v>
      </c>
      <c r="E91" s="69" t="s">
        <v>232</v>
      </c>
      <c r="F91" s="68" t="s">
        <v>409</v>
      </c>
    </row>
    <row r="92" spans="1:6">
      <c r="A92" s="62">
        <v>391</v>
      </c>
      <c r="B92" s="68" t="s">
        <v>410</v>
      </c>
      <c r="C92" s="62">
        <v>8240446</v>
      </c>
      <c r="D92" s="69" t="s">
        <v>238</v>
      </c>
      <c r="E92" s="69" t="s">
        <v>232</v>
      </c>
      <c r="F92" s="68" t="s">
        <v>411</v>
      </c>
    </row>
    <row r="93" spans="1:6">
      <c r="A93" s="62">
        <v>273</v>
      </c>
      <c r="B93" s="68" t="s">
        <v>412</v>
      </c>
      <c r="C93" s="62">
        <v>8253539</v>
      </c>
      <c r="D93" s="69" t="s">
        <v>238</v>
      </c>
      <c r="E93" s="69" t="s">
        <v>232</v>
      </c>
      <c r="F93" s="68" t="s">
        <v>413</v>
      </c>
    </row>
    <row r="94" spans="1:6">
      <c r="A94" s="62">
        <v>368</v>
      </c>
      <c r="B94" s="68" t="s">
        <v>414</v>
      </c>
      <c r="C94" s="62">
        <v>8357240</v>
      </c>
      <c r="D94" s="69" t="s">
        <v>238</v>
      </c>
      <c r="E94" s="69" t="s">
        <v>232</v>
      </c>
      <c r="F94" s="68" t="s">
        <v>415</v>
      </c>
    </row>
    <row r="95" spans="1:6">
      <c r="A95" s="62">
        <v>290</v>
      </c>
      <c r="B95" s="68" t="s">
        <v>416</v>
      </c>
      <c r="C95" s="62">
        <v>8561701</v>
      </c>
      <c r="D95" s="69" t="s">
        <v>238</v>
      </c>
      <c r="E95" s="69" t="s">
        <v>232</v>
      </c>
      <c r="F95" s="68" t="s">
        <v>417</v>
      </c>
    </row>
    <row r="96" spans="1:6">
      <c r="A96" s="62">
        <v>259</v>
      </c>
      <c r="B96" s="68" t="s">
        <v>418</v>
      </c>
      <c r="C96" s="62">
        <v>8609934</v>
      </c>
      <c r="D96" s="69" t="s">
        <v>238</v>
      </c>
      <c r="E96" s="69" t="s">
        <v>232</v>
      </c>
      <c r="F96" s="68" t="s">
        <v>419</v>
      </c>
    </row>
    <row r="97" spans="1:6">
      <c r="A97" s="62">
        <v>395</v>
      </c>
      <c r="B97" s="68" t="s">
        <v>420</v>
      </c>
      <c r="C97" s="62">
        <v>8673569</v>
      </c>
      <c r="D97" s="69" t="s">
        <v>238</v>
      </c>
      <c r="E97" s="69" t="s">
        <v>365</v>
      </c>
      <c r="F97" s="68" t="s">
        <v>421</v>
      </c>
    </row>
    <row r="98" spans="1:6">
      <c r="A98" s="62">
        <v>364</v>
      </c>
      <c r="B98" s="68" t="s">
        <v>422</v>
      </c>
      <c r="C98" s="62">
        <v>9089356</v>
      </c>
      <c r="D98" s="69" t="s">
        <v>238</v>
      </c>
      <c r="E98" s="69" t="s">
        <v>232</v>
      </c>
      <c r="F98" s="68" t="s">
        <v>423</v>
      </c>
    </row>
    <row r="99" spans="1:6">
      <c r="A99" s="62">
        <v>157</v>
      </c>
      <c r="B99" s="68" t="s">
        <v>424</v>
      </c>
      <c r="C99" s="62">
        <v>9105360</v>
      </c>
      <c r="D99" s="69" t="s">
        <v>238</v>
      </c>
      <c r="E99" s="69" t="s">
        <v>232</v>
      </c>
      <c r="F99" s="68" t="s">
        <v>425</v>
      </c>
    </row>
    <row r="100" spans="1:6">
      <c r="A100" s="62">
        <v>183</v>
      </c>
      <c r="B100" s="68" t="s">
        <v>426</v>
      </c>
      <c r="C100" s="62">
        <v>9210106</v>
      </c>
      <c r="D100" s="69" t="s">
        <v>238</v>
      </c>
      <c r="E100" s="69" t="s">
        <v>232</v>
      </c>
      <c r="F100" s="68" t="s">
        <v>427</v>
      </c>
    </row>
    <row r="101" spans="1:6">
      <c r="A101" s="62">
        <v>14</v>
      </c>
      <c r="B101" s="68" t="s">
        <v>428</v>
      </c>
      <c r="C101" s="62">
        <v>9274232</v>
      </c>
      <c r="D101" s="69" t="s">
        <v>238</v>
      </c>
      <c r="E101" s="69" t="s">
        <v>232</v>
      </c>
      <c r="F101" s="68" t="s">
        <v>429</v>
      </c>
    </row>
    <row r="102" spans="1:6">
      <c r="A102" s="62">
        <v>130</v>
      </c>
      <c r="B102" s="68" t="s">
        <v>430</v>
      </c>
      <c r="C102" s="62">
        <v>9313766</v>
      </c>
      <c r="D102" s="69" t="s">
        <v>238</v>
      </c>
      <c r="E102" s="69" t="s">
        <v>232</v>
      </c>
      <c r="F102" s="68" t="s">
        <v>431</v>
      </c>
    </row>
    <row r="103" spans="1:6">
      <c r="A103" s="62">
        <v>358</v>
      </c>
      <c r="B103" s="68" t="s">
        <v>432</v>
      </c>
      <c r="C103" s="62">
        <v>9464032</v>
      </c>
      <c r="D103" s="69" t="s">
        <v>238</v>
      </c>
      <c r="E103" s="69" t="s">
        <v>232</v>
      </c>
      <c r="F103" s="68" t="s">
        <v>433</v>
      </c>
    </row>
    <row r="104" spans="1:6">
      <c r="A104" s="62">
        <v>127</v>
      </c>
      <c r="B104" s="68" t="s">
        <v>434</v>
      </c>
      <c r="C104" s="62">
        <v>9512542</v>
      </c>
      <c r="D104" s="69" t="s">
        <v>238</v>
      </c>
      <c r="E104" s="69" t="s">
        <v>365</v>
      </c>
      <c r="F104" s="68" t="s">
        <v>435</v>
      </c>
    </row>
    <row r="105" spans="1:6">
      <c r="A105" s="62">
        <v>79</v>
      </c>
      <c r="B105" s="68" t="s">
        <v>436</v>
      </c>
      <c r="C105" s="62">
        <v>9516419</v>
      </c>
      <c r="D105" s="69" t="s">
        <v>238</v>
      </c>
      <c r="E105" s="69" t="s">
        <v>232</v>
      </c>
      <c r="F105" s="68" t="s">
        <v>436</v>
      </c>
    </row>
    <row r="106" spans="1:6">
      <c r="A106" s="62">
        <v>141</v>
      </c>
      <c r="B106" s="68" t="s">
        <v>437</v>
      </c>
      <c r="C106" s="62">
        <v>9526594</v>
      </c>
      <c r="D106" s="69" t="s">
        <v>238</v>
      </c>
      <c r="E106" s="69" t="s">
        <v>232</v>
      </c>
      <c r="F106" s="68" t="s">
        <v>438</v>
      </c>
    </row>
    <row r="107" spans="1:6">
      <c r="A107" s="62">
        <v>340</v>
      </c>
      <c r="B107" s="68" t="s">
        <v>439</v>
      </c>
      <c r="C107" s="62">
        <v>9554480</v>
      </c>
      <c r="D107" s="69" t="s">
        <v>238</v>
      </c>
      <c r="E107" s="69" t="s">
        <v>232</v>
      </c>
      <c r="F107" s="68" t="s">
        <v>440</v>
      </c>
    </row>
    <row r="108" spans="1:6">
      <c r="A108" s="62">
        <v>81</v>
      </c>
      <c r="B108" s="68" t="s">
        <v>441</v>
      </c>
      <c r="C108" s="62">
        <v>10264663</v>
      </c>
      <c r="D108" s="69" t="s">
        <v>238</v>
      </c>
      <c r="E108" s="69" t="s">
        <v>232</v>
      </c>
      <c r="F108" s="68" t="s">
        <v>442</v>
      </c>
    </row>
    <row r="109" spans="1:6">
      <c r="A109" s="62">
        <v>475</v>
      </c>
      <c r="B109" s="68" t="s">
        <v>443</v>
      </c>
      <c r="C109" s="62">
        <v>10371492</v>
      </c>
      <c r="D109" s="69" t="s">
        <v>238</v>
      </c>
      <c r="E109" s="69" t="s">
        <v>232</v>
      </c>
      <c r="F109" s="68" t="s">
        <v>444</v>
      </c>
    </row>
    <row r="110" spans="1:6">
      <c r="A110" s="62">
        <v>133</v>
      </c>
      <c r="B110" s="68" t="s">
        <v>445</v>
      </c>
      <c r="C110" s="62">
        <v>10398952</v>
      </c>
      <c r="D110" s="69" t="s">
        <v>231</v>
      </c>
      <c r="E110" s="69" t="s">
        <v>232</v>
      </c>
      <c r="F110" s="68" t="s">
        <v>446</v>
      </c>
    </row>
    <row r="111" spans="1:6">
      <c r="A111" s="62">
        <v>323</v>
      </c>
      <c r="B111" s="68" t="s">
        <v>447</v>
      </c>
      <c r="C111" s="62">
        <v>10573521</v>
      </c>
      <c r="D111" s="69" t="s">
        <v>238</v>
      </c>
      <c r="E111" s="69" t="s">
        <v>232</v>
      </c>
      <c r="F111" s="68" t="s">
        <v>448</v>
      </c>
    </row>
    <row r="112" spans="1:6">
      <c r="A112" s="62">
        <v>121</v>
      </c>
      <c r="B112" s="68" t="s">
        <v>449</v>
      </c>
      <c r="C112" s="62">
        <v>10664513</v>
      </c>
      <c r="D112" s="69" t="s">
        <v>238</v>
      </c>
      <c r="E112" s="69" t="s">
        <v>232</v>
      </c>
      <c r="F112" s="68" t="s">
        <v>450</v>
      </c>
    </row>
    <row r="113" spans="1:6">
      <c r="A113" s="62">
        <v>83</v>
      </c>
      <c r="B113" s="68" t="s">
        <v>451</v>
      </c>
      <c r="C113" s="62">
        <v>10690848</v>
      </c>
      <c r="D113" s="69" t="s">
        <v>231</v>
      </c>
      <c r="E113" s="69" t="s">
        <v>232</v>
      </c>
      <c r="F113" s="68" t="s">
        <v>452</v>
      </c>
    </row>
    <row r="114" spans="1:6">
      <c r="A114" s="62">
        <v>138</v>
      </c>
      <c r="B114" s="68" t="s">
        <v>453</v>
      </c>
      <c r="C114" s="62">
        <v>10853017</v>
      </c>
      <c r="D114" s="69" t="s">
        <v>238</v>
      </c>
      <c r="E114" s="69" t="s">
        <v>365</v>
      </c>
      <c r="F114" s="68" t="s">
        <v>454</v>
      </c>
    </row>
    <row r="115" spans="1:6">
      <c r="A115" s="62">
        <v>24</v>
      </c>
      <c r="B115" s="68" t="s">
        <v>455</v>
      </c>
      <c r="C115" s="62">
        <v>10866788</v>
      </c>
      <c r="D115" s="69" t="s">
        <v>238</v>
      </c>
      <c r="E115" s="69" t="s">
        <v>232</v>
      </c>
      <c r="F115" s="68" t="s">
        <v>456</v>
      </c>
    </row>
    <row r="116" spans="1:6">
      <c r="A116" s="62">
        <v>384</v>
      </c>
      <c r="B116" s="68" t="s">
        <v>457</v>
      </c>
      <c r="C116" s="62">
        <v>11165756</v>
      </c>
      <c r="D116" s="69" t="s">
        <v>238</v>
      </c>
      <c r="E116" s="69" t="s">
        <v>232</v>
      </c>
      <c r="F116" s="68" t="s">
        <v>458</v>
      </c>
    </row>
    <row r="117" spans="1:6">
      <c r="A117" s="62">
        <v>426</v>
      </c>
      <c r="B117" s="68" t="s">
        <v>459</v>
      </c>
      <c r="C117" s="62">
        <v>11285104</v>
      </c>
      <c r="D117" s="69" t="s">
        <v>238</v>
      </c>
      <c r="E117" s="69" t="s">
        <v>232</v>
      </c>
      <c r="F117" s="68" t="s">
        <v>460</v>
      </c>
    </row>
    <row r="118" spans="1:6">
      <c r="A118" s="62">
        <v>88</v>
      </c>
      <c r="B118" s="68" t="s">
        <v>461</v>
      </c>
      <c r="C118" s="62">
        <v>11476673</v>
      </c>
      <c r="D118" s="69" t="s">
        <v>238</v>
      </c>
      <c r="E118" s="69" t="s">
        <v>232</v>
      </c>
      <c r="F118" s="68" t="s">
        <v>461</v>
      </c>
    </row>
    <row r="119" spans="1:6">
      <c r="A119" s="62">
        <v>319</v>
      </c>
      <c r="B119" s="68" t="s">
        <v>462</v>
      </c>
      <c r="C119" s="62">
        <v>11495073</v>
      </c>
      <c r="D119" s="69" t="s">
        <v>238</v>
      </c>
      <c r="E119" s="69" t="s">
        <v>365</v>
      </c>
      <c r="F119" s="68" t="s">
        <v>463</v>
      </c>
    </row>
    <row r="120" spans="1:6">
      <c r="A120" s="62">
        <v>274</v>
      </c>
      <c r="B120" s="68" t="s">
        <v>464</v>
      </c>
      <c r="C120" s="62">
        <v>11581339</v>
      </c>
      <c r="D120" s="69" t="s">
        <v>238</v>
      </c>
      <c r="E120" s="69" t="s">
        <v>232</v>
      </c>
      <c r="F120" s="68" t="s">
        <v>465</v>
      </c>
    </row>
    <row r="121" spans="1:6">
      <c r="A121" s="62">
        <v>95</v>
      </c>
      <c r="B121" s="68" t="s">
        <v>466</v>
      </c>
      <c r="C121" s="62">
        <v>11703662</v>
      </c>
      <c r="D121" s="69" t="s">
        <v>238</v>
      </c>
      <c r="E121" s="69" t="s">
        <v>232</v>
      </c>
      <c r="F121" s="68" t="s">
        <v>467</v>
      </c>
    </row>
    <row r="122" spans="1:6">
      <c r="A122" s="62">
        <v>94</v>
      </c>
      <c r="B122" s="68" t="s">
        <v>468</v>
      </c>
      <c r="C122" s="62">
        <v>11758741</v>
      </c>
      <c r="D122" s="69" t="s">
        <v>238</v>
      </c>
      <c r="E122" s="69" t="s">
        <v>232</v>
      </c>
      <c r="F122" s="68" t="s">
        <v>469</v>
      </c>
    </row>
    <row r="123" spans="1:6">
      <c r="A123" s="62">
        <v>478</v>
      </c>
      <c r="B123" s="68" t="s">
        <v>470</v>
      </c>
      <c r="C123" s="62">
        <v>11760553</v>
      </c>
      <c r="D123" s="69" t="s">
        <v>238</v>
      </c>
      <c r="E123" s="69" t="s">
        <v>232</v>
      </c>
      <c r="F123" s="68" t="s">
        <v>471</v>
      </c>
    </row>
    <row r="124" spans="1:6">
      <c r="A124" s="62">
        <v>276</v>
      </c>
      <c r="B124" s="68" t="s">
        <v>472</v>
      </c>
      <c r="C124" s="62">
        <v>11970623</v>
      </c>
      <c r="D124" s="69" t="s">
        <v>238</v>
      </c>
      <c r="E124" s="69" t="s">
        <v>232</v>
      </c>
      <c r="F124" s="68" t="s">
        <v>473</v>
      </c>
    </row>
    <row r="125" spans="1:6">
      <c r="A125" s="62">
        <v>447</v>
      </c>
      <c r="B125" s="68" t="s">
        <v>474</v>
      </c>
      <c r="C125" s="62">
        <v>12392983</v>
      </c>
      <c r="D125" s="69" t="s">
        <v>238</v>
      </c>
      <c r="E125" s="69" t="s">
        <v>232</v>
      </c>
      <c r="F125" s="68" t="s">
        <v>475</v>
      </c>
    </row>
    <row r="126" spans="1:6">
      <c r="A126" s="62">
        <v>569</v>
      </c>
      <c r="B126" s="68" t="s">
        <v>476</v>
      </c>
      <c r="C126" s="62">
        <v>12473687</v>
      </c>
      <c r="D126" s="69" t="s">
        <v>238</v>
      </c>
      <c r="E126" s="69" t="s">
        <v>232</v>
      </c>
      <c r="F126" s="68" t="s">
        <v>477</v>
      </c>
    </row>
    <row r="127" spans="1:6">
      <c r="A127" s="62">
        <v>47</v>
      </c>
      <c r="B127" s="68" t="s">
        <v>478</v>
      </c>
      <c r="C127" s="62">
        <v>13009717</v>
      </c>
      <c r="D127" s="69" t="s">
        <v>231</v>
      </c>
      <c r="E127" s="69" t="s">
        <v>232</v>
      </c>
      <c r="F127" s="68" t="s">
        <v>479</v>
      </c>
    </row>
    <row r="128" spans="1:6">
      <c r="A128" s="62">
        <v>144</v>
      </c>
      <c r="B128" s="68" t="s">
        <v>480</v>
      </c>
      <c r="C128" s="62">
        <v>13059145</v>
      </c>
      <c r="D128" s="69" t="s">
        <v>238</v>
      </c>
      <c r="E128" s="69" t="s">
        <v>232</v>
      </c>
      <c r="F128" s="68" t="s">
        <v>481</v>
      </c>
    </row>
    <row r="129" spans="1:6">
      <c r="A129" s="62">
        <v>332</v>
      </c>
      <c r="B129" s="68" t="s">
        <v>482</v>
      </c>
      <c r="C129" s="62">
        <v>13140088</v>
      </c>
      <c r="D129" s="69" t="s">
        <v>238</v>
      </c>
      <c r="E129" s="69" t="s">
        <v>232</v>
      </c>
      <c r="F129" s="68" t="s">
        <v>482</v>
      </c>
    </row>
    <row r="130" spans="1:6">
      <c r="A130" s="62">
        <v>450</v>
      </c>
      <c r="B130" s="68" t="s">
        <v>483</v>
      </c>
      <c r="C130" s="62">
        <v>13203354</v>
      </c>
      <c r="D130" s="69" t="s">
        <v>238</v>
      </c>
      <c r="E130" s="69" t="s">
        <v>232</v>
      </c>
      <c r="F130" s="68" t="s">
        <v>484</v>
      </c>
    </row>
    <row r="131" spans="1:6">
      <c r="A131" s="62">
        <v>126</v>
      </c>
      <c r="B131" s="68" t="s">
        <v>485</v>
      </c>
      <c r="C131" s="62">
        <v>13220493</v>
      </c>
      <c r="D131" s="69" t="s">
        <v>238</v>
      </c>
      <c r="E131" s="69" t="s">
        <v>232</v>
      </c>
      <c r="F131" s="68" t="s">
        <v>486</v>
      </c>
    </row>
    <row r="132" spans="1:6">
      <c r="A132" s="62">
        <v>325</v>
      </c>
      <c r="B132" s="68" t="s">
        <v>487</v>
      </c>
      <c r="C132" s="62">
        <v>13293225</v>
      </c>
      <c r="D132" s="69" t="s">
        <v>238</v>
      </c>
      <c r="E132" s="69" t="s">
        <v>232</v>
      </c>
      <c r="F132" s="68" t="s">
        <v>488</v>
      </c>
    </row>
    <row r="133" spans="1:6">
      <c r="A133" s="62">
        <v>301</v>
      </c>
      <c r="B133" s="68" t="s">
        <v>489</v>
      </c>
      <c r="C133" s="62">
        <v>13370835</v>
      </c>
      <c r="D133" s="69" t="s">
        <v>238</v>
      </c>
      <c r="E133" s="69" t="s">
        <v>232</v>
      </c>
      <c r="F133" s="68" t="s">
        <v>490</v>
      </c>
    </row>
    <row r="134" spans="1:6">
      <c r="A134" s="62">
        <v>173</v>
      </c>
      <c r="B134" s="68" t="s">
        <v>491</v>
      </c>
      <c r="C134" s="62">
        <v>13486793</v>
      </c>
      <c r="D134" s="69" t="s">
        <v>238</v>
      </c>
      <c r="E134" s="69" t="s">
        <v>232</v>
      </c>
      <c r="F134" s="68" t="s">
        <v>492</v>
      </c>
    </row>
    <row r="135" spans="1:6">
      <c r="A135" s="62">
        <v>331</v>
      </c>
      <c r="B135" s="68" t="s">
        <v>493</v>
      </c>
      <c r="C135" s="62">
        <v>13673855</v>
      </c>
      <c r="D135" s="69" t="s">
        <v>238</v>
      </c>
      <c r="E135" s="69" t="s">
        <v>232</v>
      </c>
      <c r="F135" s="68" t="s">
        <v>494</v>
      </c>
    </row>
    <row r="136" spans="1:6">
      <c r="A136" s="62">
        <v>119</v>
      </c>
      <c r="B136" s="68" t="s">
        <v>495</v>
      </c>
      <c r="C136" s="62">
        <v>13720915</v>
      </c>
      <c r="D136" s="69" t="s">
        <v>238</v>
      </c>
      <c r="E136" s="69" t="s">
        <v>232</v>
      </c>
      <c r="F136" s="68" t="s">
        <v>496</v>
      </c>
    </row>
    <row r="137" spans="1:6">
      <c r="A137" s="62">
        <v>396</v>
      </c>
      <c r="B137" s="68" t="s">
        <v>497</v>
      </c>
      <c r="C137" s="62">
        <v>13884775</v>
      </c>
      <c r="D137" s="69" t="s">
        <v>238</v>
      </c>
      <c r="E137" s="69" t="s">
        <v>232</v>
      </c>
      <c r="F137" s="68" t="s">
        <v>498</v>
      </c>
    </row>
    <row r="138" spans="1:6">
      <c r="A138" s="62">
        <v>509</v>
      </c>
      <c r="B138" s="68" t="s">
        <v>499</v>
      </c>
      <c r="C138" s="62">
        <v>13935893</v>
      </c>
      <c r="D138" s="69" t="s">
        <v>238</v>
      </c>
      <c r="E138" s="69" t="s">
        <v>232</v>
      </c>
      <c r="F138" s="68" t="s">
        <v>500</v>
      </c>
    </row>
    <row r="139" spans="1:6">
      <c r="A139" s="62">
        <v>309</v>
      </c>
      <c r="B139" s="68" t="s">
        <v>501</v>
      </c>
      <c r="C139" s="62">
        <v>14190547</v>
      </c>
      <c r="D139" s="69" t="s">
        <v>238</v>
      </c>
      <c r="E139" s="69" t="s">
        <v>365</v>
      </c>
      <c r="F139" s="68" t="s">
        <v>502</v>
      </c>
    </row>
    <row r="140" spans="1:6">
      <c r="A140" s="62">
        <v>254</v>
      </c>
      <c r="B140" s="68" t="s">
        <v>503</v>
      </c>
      <c r="C140" s="62">
        <v>14388334</v>
      </c>
      <c r="D140" s="69" t="s">
        <v>231</v>
      </c>
      <c r="E140" s="69" t="s">
        <v>232</v>
      </c>
      <c r="F140" s="68" t="s">
        <v>504</v>
      </c>
    </row>
    <row r="141" spans="1:6">
      <c r="A141" s="62">
        <v>268</v>
      </c>
      <c r="B141" s="68" t="s">
        <v>505</v>
      </c>
      <c r="C141" s="62">
        <v>14511781</v>
      </c>
      <c r="D141" s="69" t="s">
        <v>238</v>
      </c>
      <c r="E141" s="69" t="s">
        <v>365</v>
      </c>
      <c r="F141" s="68" t="s">
        <v>506</v>
      </c>
    </row>
    <row r="142" spans="1:6">
      <c r="A142" s="62">
        <v>401</v>
      </c>
      <c r="B142" s="68" t="s">
        <v>507</v>
      </c>
      <c r="C142" s="62">
        <v>15111975</v>
      </c>
      <c r="D142" s="69" t="s">
        <v>238</v>
      </c>
      <c r="E142" s="69" t="s">
        <v>232</v>
      </c>
      <c r="F142" s="68" t="s">
        <v>508</v>
      </c>
    </row>
    <row r="143" spans="1:6">
      <c r="A143" s="62">
        <v>107</v>
      </c>
      <c r="B143" s="68" t="s">
        <v>509</v>
      </c>
      <c r="C143" s="62">
        <v>15114366</v>
      </c>
      <c r="D143" s="69" t="s">
        <v>231</v>
      </c>
      <c r="E143" s="69" t="s">
        <v>232</v>
      </c>
      <c r="F143" s="68" t="s">
        <v>510</v>
      </c>
    </row>
    <row r="144" spans="1:6">
      <c r="A144" s="62">
        <v>334</v>
      </c>
      <c r="B144" s="68" t="s">
        <v>511</v>
      </c>
      <c r="C144" s="62">
        <v>15124464</v>
      </c>
      <c r="D144" s="69" t="s">
        <v>238</v>
      </c>
      <c r="E144" s="69" t="s">
        <v>232</v>
      </c>
      <c r="F144" s="68" t="s">
        <v>511</v>
      </c>
    </row>
    <row r="145" spans="1:6">
      <c r="A145" s="62">
        <v>412</v>
      </c>
      <c r="B145" s="68" t="s">
        <v>512</v>
      </c>
      <c r="C145" s="62">
        <v>15173776</v>
      </c>
      <c r="D145" s="69" t="s">
        <v>238</v>
      </c>
      <c r="E145" s="69" t="s">
        <v>232</v>
      </c>
      <c r="F145" s="68" t="s">
        <v>513</v>
      </c>
    </row>
    <row r="146" spans="1:6">
      <c r="A146" s="62">
        <v>124</v>
      </c>
      <c r="B146" s="68" t="s">
        <v>514</v>
      </c>
      <c r="C146" s="62">
        <v>15357060</v>
      </c>
      <c r="D146" s="69" t="s">
        <v>231</v>
      </c>
      <c r="E146" s="69" t="s">
        <v>232</v>
      </c>
      <c r="F146" s="68" t="s">
        <v>515</v>
      </c>
    </row>
    <row r="147" spans="1:6">
      <c r="A147" s="62">
        <v>549</v>
      </c>
      <c r="B147" s="68" t="s">
        <v>516</v>
      </c>
      <c r="C147" s="62">
        <v>15489568</v>
      </c>
      <c r="D147" s="69" t="s">
        <v>238</v>
      </c>
      <c r="E147" s="69" t="s">
        <v>232</v>
      </c>
      <c r="F147" s="68" t="s">
        <v>517</v>
      </c>
    </row>
    <row r="148" spans="1:6">
      <c r="A148" s="62">
        <v>149</v>
      </c>
      <c r="B148" s="68" t="s">
        <v>518</v>
      </c>
      <c r="C148" s="62">
        <v>15581638</v>
      </c>
      <c r="D148" s="69" t="s">
        <v>238</v>
      </c>
      <c r="E148" s="69" t="s">
        <v>232</v>
      </c>
      <c r="F148" s="68" t="s">
        <v>519</v>
      </c>
    </row>
    <row r="149" spans="1:6">
      <c r="A149" s="62">
        <v>197</v>
      </c>
      <c r="B149" s="68" t="s">
        <v>520</v>
      </c>
      <c r="C149" s="62">
        <v>16501555</v>
      </c>
      <c r="D149" s="69" t="s">
        <v>238</v>
      </c>
      <c r="E149" s="69" t="s">
        <v>232</v>
      </c>
      <c r="F149" s="68" t="s">
        <v>521</v>
      </c>
    </row>
    <row r="150" spans="1:6">
      <c r="A150" s="62">
        <v>439</v>
      </c>
      <c r="B150" s="68" t="s">
        <v>522</v>
      </c>
      <c r="C150" s="62">
        <v>16695922</v>
      </c>
      <c r="D150" s="69" t="s">
        <v>238</v>
      </c>
      <c r="E150" s="69" t="s">
        <v>232</v>
      </c>
      <c r="F150" s="68" t="s">
        <v>523</v>
      </c>
    </row>
    <row r="151" spans="1:6">
      <c r="A151" s="62">
        <v>142</v>
      </c>
      <c r="B151" s="68" t="s">
        <v>524</v>
      </c>
      <c r="C151" s="62">
        <v>16944141</v>
      </c>
      <c r="D151" s="69" t="s">
        <v>238</v>
      </c>
      <c r="E151" s="69" t="s">
        <v>232</v>
      </c>
      <c r="F151" s="68" t="s">
        <v>525</v>
      </c>
    </row>
    <row r="152" spans="1:6">
      <c r="A152" s="62">
        <v>529</v>
      </c>
      <c r="B152" s="68" t="s">
        <v>526</v>
      </c>
      <c r="C152" s="62">
        <v>17079937</v>
      </c>
      <c r="D152" s="69" t="s">
        <v>238</v>
      </c>
      <c r="E152" s="69" t="s">
        <v>232</v>
      </c>
      <c r="F152" s="68" t="s">
        <v>527</v>
      </c>
    </row>
    <row r="153" spans="1:6">
      <c r="A153" s="62">
        <v>389</v>
      </c>
      <c r="B153" s="68" t="s">
        <v>528</v>
      </c>
      <c r="C153" s="62">
        <v>17184037</v>
      </c>
      <c r="D153" s="69" t="s">
        <v>231</v>
      </c>
      <c r="E153" s="69" t="s">
        <v>232</v>
      </c>
      <c r="F153" s="68" t="s">
        <v>529</v>
      </c>
    </row>
    <row r="154" spans="1:6">
      <c r="A154" s="62">
        <v>184</v>
      </c>
      <c r="B154" s="68" t="s">
        <v>530</v>
      </c>
      <c r="C154" s="62">
        <v>17298092</v>
      </c>
      <c r="D154" s="69" t="s">
        <v>238</v>
      </c>
      <c r="E154" s="69" t="s">
        <v>232</v>
      </c>
      <c r="F154" s="68" t="s">
        <v>531</v>
      </c>
    </row>
    <row r="155" spans="1:6">
      <c r="A155" s="62">
        <v>634</v>
      </c>
      <c r="B155" s="68" t="s">
        <v>532</v>
      </c>
      <c r="C155" s="62">
        <v>17351180</v>
      </c>
      <c r="D155" s="69" t="s">
        <v>231</v>
      </c>
      <c r="E155" s="69" t="s">
        <v>232</v>
      </c>
      <c r="F155" s="68" t="s">
        <v>533</v>
      </c>
    </row>
    <row r="156" spans="1:6">
      <c r="A156" s="62">
        <v>545</v>
      </c>
      <c r="B156" s="68" t="s">
        <v>534</v>
      </c>
      <c r="C156" s="62">
        <v>17352220</v>
      </c>
      <c r="D156" s="69" t="s">
        <v>238</v>
      </c>
      <c r="E156" s="69" t="s">
        <v>365</v>
      </c>
      <c r="F156" s="68" t="s">
        <v>535</v>
      </c>
    </row>
    <row r="157" spans="1:6">
      <c r="A157" s="62">
        <v>132</v>
      </c>
      <c r="B157" s="68" t="s">
        <v>536</v>
      </c>
      <c r="C157" s="62">
        <v>17453575</v>
      </c>
      <c r="D157" s="69" t="s">
        <v>238</v>
      </c>
      <c r="E157" s="69" t="s">
        <v>232</v>
      </c>
      <c r="F157" s="68" t="s">
        <v>537</v>
      </c>
    </row>
    <row r="158" spans="1:6">
      <c r="A158" s="62">
        <v>298</v>
      </c>
      <c r="B158" s="68" t="s">
        <v>538</v>
      </c>
      <c r="C158" s="62">
        <v>17772370</v>
      </c>
      <c r="D158" s="69" t="s">
        <v>238</v>
      </c>
      <c r="E158" s="69" t="s">
        <v>365</v>
      </c>
      <c r="F158" s="68" t="s">
        <v>539</v>
      </c>
    </row>
    <row r="159" spans="1:6">
      <c r="A159" s="62">
        <v>377</v>
      </c>
      <c r="B159" s="68" t="s">
        <v>540</v>
      </c>
      <c r="C159" s="62">
        <v>17826860</v>
      </c>
      <c r="D159" s="69" t="s">
        <v>238</v>
      </c>
      <c r="E159" s="69" t="s">
        <v>232</v>
      </c>
      <c r="F159" s="68" t="s">
        <v>541</v>
      </c>
    </row>
    <row r="160" spans="1:6">
      <c r="A160" s="62">
        <v>321</v>
      </c>
      <c r="B160" s="68" t="s">
        <v>542</v>
      </c>
      <c r="C160" s="62">
        <v>18188384</v>
      </c>
      <c r="D160" s="69" t="s">
        <v>238</v>
      </c>
      <c r="E160" s="69" t="s">
        <v>232</v>
      </c>
      <c r="F160" s="68" t="s">
        <v>543</v>
      </c>
    </row>
    <row r="161" spans="1:6">
      <c r="A161" s="62">
        <v>542</v>
      </c>
      <c r="B161" s="68" t="s">
        <v>544</v>
      </c>
      <c r="C161" s="62">
        <v>18189547</v>
      </c>
      <c r="D161" s="69" t="s">
        <v>238</v>
      </c>
      <c r="E161" s="69" t="s">
        <v>232</v>
      </c>
      <c r="F161" s="68" t="s">
        <v>545</v>
      </c>
    </row>
    <row r="162" spans="1:6">
      <c r="A162" s="62">
        <v>260</v>
      </c>
      <c r="B162" s="68" t="s">
        <v>546</v>
      </c>
      <c r="C162" s="62">
        <v>18236120</v>
      </c>
      <c r="D162" s="69" t="s">
        <v>238</v>
      </c>
      <c r="E162" s="69" t="s">
        <v>232</v>
      </c>
      <c r="F162" s="68" t="s">
        <v>547</v>
      </c>
    </row>
    <row r="163" spans="1:6">
      <c r="A163" s="62">
        <v>470</v>
      </c>
      <c r="B163" s="68" t="s">
        <v>548</v>
      </c>
      <c r="C163" s="62">
        <v>18394228</v>
      </c>
      <c r="D163" s="69" t="s">
        <v>238</v>
      </c>
      <c r="E163" s="69" t="s">
        <v>232</v>
      </c>
      <c r="F163" s="68" t="s">
        <v>549</v>
      </c>
    </row>
    <row r="164" spans="1:6">
      <c r="A164" s="62">
        <v>129</v>
      </c>
      <c r="B164" s="68" t="s">
        <v>550</v>
      </c>
      <c r="C164" s="62">
        <v>18520834</v>
      </c>
      <c r="D164" s="69" t="s">
        <v>238</v>
      </c>
      <c r="E164" s="69" t="s">
        <v>232</v>
      </c>
      <c r="F164" s="68" t="s">
        <v>551</v>
      </c>
    </row>
    <row r="165" spans="1:6">
      <c r="A165" s="62">
        <v>562</v>
      </c>
      <c r="B165" s="68" t="s">
        <v>552</v>
      </c>
      <c r="C165" s="62">
        <v>18684408</v>
      </c>
      <c r="D165" s="69" t="s">
        <v>238</v>
      </c>
      <c r="E165" s="69" t="s">
        <v>232</v>
      </c>
      <c r="F165" s="68" t="s">
        <v>553</v>
      </c>
    </row>
    <row r="166" spans="1:6">
      <c r="A166" s="62">
        <v>128</v>
      </c>
      <c r="B166" s="68" t="s">
        <v>554</v>
      </c>
      <c r="C166" s="62">
        <v>19307785</v>
      </c>
      <c r="D166" s="69" t="s">
        <v>238</v>
      </c>
      <c r="E166" s="69" t="s">
        <v>232</v>
      </c>
      <c r="F166" s="68" t="s">
        <v>555</v>
      </c>
    </row>
    <row r="167" spans="1:6">
      <c r="A167" s="62">
        <v>416</v>
      </c>
      <c r="B167" s="68" t="s">
        <v>556</v>
      </c>
      <c r="C167" s="62">
        <v>19324634</v>
      </c>
      <c r="D167" s="69" t="s">
        <v>238</v>
      </c>
      <c r="E167" s="69" t="s">
        <v>365</v>
      </c>
      <c r="F167" s="68" t="s">
        <v>557</v>
      </c>
    </row>
    <row r="168" spans="1:6">
      <c r="A168" s="62">
        <v>461</v>
      </c>
      <c r="B168" s="68" t="s">
        <v>558</v>
      </c>
      <c r="C168" s="62">
        <v>19540550</v>
      </c>
      <c r="D168" s="69" t="s">
        <v>238</v>
      </c>
      <c r="E168" s="69" t="s">
        <v>232</v>
      </c>
      <c r="F168" s="68" t="s">
        <v>559</v>
      </c>
    </row>
    <row r="169" spans="1:6">
      <c r="A169" s="62">
        <v>194</v>
      </c>
      <c r="B169" s="68" t="s">
        <v>560</v>
      </c>
      <c r="C169" s="62">
        <v>20155248</v>
      </c>
      <c r="D169" s="69" t="s">
        <v>238</v>
      </c>
      <c r="E169" s="69" t="s">
        <v>232</v>
      </c>
      <c r="F169" s="68" t="s">
        <v>561</v>
      </c>
    </row>
    <row r="170" spans="1:6">
      <c r="A170" s="62">
        <v>538</v>
      </c>
      <c r="B170" s="68" t="s">
        <v>562</v>
      </c>
      <c r="C170" s="62">
        <v>20251847</v>
      </c>
      <c r="D170" s="69" t="s">
        <v>238</v>
      </c>
      <c r="E170" s="69" t="s">
        <v>232</v>
      </c>
      <c r="F170" s="68" t="s">
        <v>563</v>
      </c>
    </row>
    <row r="171" spans="1:6">
      <c r="A171" s="62">
        <v>561</v>
      </c>
      <c r="B171" s="68" t="s">
        <v>564</v>
      </c>
      <c r="C171" s="62">
        <v>20757199</v>
      </c>
      <c r="D171" s="69" t="s">
        <v>238</v>
      </c>
      <c r="E171" s="69" t="s">
        <v>232</v>
      </c>
      <c r="F171" s="68" t="s">
        <v>565</v>
      </c>
    </row>
    <row r="172" spans="1:6">
      <c r="A172" s="62">
        <v>536</v>
      </c>
      <c r="B172" s="68" t="s">
        <v>566</v>
      </c>
      <c r="C172" s="62">
        <v>20855875</v>
      </c>
      <c r="D172" s="69" t="s">
        <v>238</v>
      </c>
      <c r="E172" s="69" t="s">
        <v>232</v>
      </c>
      <c r="F172" s="68" t="s">
        <v>567</v>
      </c>
    </row>
    <row r="173" spans="1:6">
      <c r="A173" s="62">
        <v>383</v>
      </c>
      <c r="B173" s="68" t="s">
        <v>568</v>
      </c>
      <c r="C173" s="62">
        <v>21018182</v>
      </c>
      <c r="D173" s="69" t="s">
        <v>238</v>
      </c>
      <c r="E173" s="69" t="s">
        <v>232</v>
      </c>
      <c r="F173" s="68" t="s">
        <v>569</v>
      </c>
    </row>
    <row r="174" spans="1:6">
      <c r="A174" s="62">
        <v>324</v>
      </c>
      <c r="B174" s="68" t="s">
        <v>570</v>
      </c>
      <c r="C174" s="62">
        <v>21332862</v>
      </c>
      <c r="D174" s="69" t="s">
        <v>238</v>
      </c>
      <c r="E174" s="69" t="s">
        <v>232</v>
      </c>
      <c r="F174" s="68" t="s">
        <v>571</v>
      </c>
    </row>
    <row r="175" spans="1:6">
      <c r="A175" s="62">
        <v>560</v>
      </c>
      <c r="B175" s="68" t="s">
        <v>572</v>
      </c>
      <c r="C175" s="62">
        <v>21995256</v>
      </c>
      <c r="D175" s="69" t="s">
        <v>238</v>
      </c>
      <c r="E175" s="69" t="s">
        <v>232</v>
      </c>
      <c r="F175" s="68" t="s">
        <v>573</v>
      </c>
    </row>
    <row r="176" spans="1:6">
      <c r="A176" s="62">
        <v>533</v>
      </c>
      <c r="B176" s="68" t="s">
        <v>574</v>
      </c>
      <c r="C176" s="62">
        <v>22575466</v>
      </c>
      <c r="D176" s="69" t="s">
        <v>238</v>
      </c>
      <c r="E176" s="69" t="s">
        <v>232</v>
      </c>
      <c r="F176" s="68" t="s">
        <v>575</v>
      </c>
    </row>
    <row r="177" spans="1:6">
      <c r="A177" s="62">
        <v>310</v>
      </c>
      <c r="B177" s="68" t="s">
        <v>576</v>
      </c>
      <c r="C177" s="62">
        <v>22610500</v>
      </c>
      <c r="D177" s="69" t="s">
        <v>238</v>
      </c>
      <c r="E177" s="69" t="s">
        <v>232</v>
      </c>
      <c r="F177" s="68" t="s">
        <v>577</v>
      </c>
    </row>
    <row r="178" spans="1:6">
      <c r="A178" s="62">
        <v>380</v>
      </c>
      <c r="B178" s="68" t="s">
        <v>578</v>
      </c>
      <c r="C178" s="62">
        <v>22896431</v>
      </c>
      <c r="D178" s="69" t="s">
        <v>238</v>
      </c>
      <c r="E178" s="69" t="s">
        <v>232</v>
      </c>
      <c r="F178" s="68" t="s">
        <v>579</v>
      </c>
    </row>
    <row r="179" spans="1:6">
      <c r="A179" s="62">
        <v>566</v>
      </c>
      <c r="B179" s="68" t="s">
        <v>580</v>
      </c>
      <c r="C179" s="62">
        <v>23114447</v>
      </c>
      <c r="D179" s="69" t="s">
        <v>238</v>
      </c>
      <c r="E179" s="69" t="s">
        <v>232</v>
      </c>
      <c r="F179" s="68" t="s">
        <v>581</v>
      </c>
    </row>
    <row r="180" spans="1:6">
      <c r="A180" s="62">
        <v>280</v>
      </c>
      <c r="B180" s="68" t="s">
        <v>582</v>
      </c>
      <c r="C180" s="62">
        <v>23862762</v>
      </c>
      <c r="D180" s="69" t="s">
        <v>238</v>
      </c>
      <c r="E180" s="69" t="s">
        <v>232</v>
      </c>
      <c r="F180" s="68" t="s">
        <v>583</v>
      </c>
    </row>
    <row r="181" spans="1:6">
      <c r="A181" s="62">
        <v>146</v>
      </c>
      <c r="B181" s="68" t="s">
        <v>584</v>
      </c>
      <c r="C181" s="62">
        <v>24074692</v>
      </c>
      <c r="D181" s="69" t="s">
        <v>238</v>
      </c>
      <c r="E181" s="69" t="s">
        <v>365</v>
      </c>
      <c r="F181" s="68" t="s">
        <v>585</v>
      </c>
    </row>
    <row r="182" spans="1:6">
      <c r="A182" s="62">
        <v>343</v>
      </c>
      <c r="B182" s="68" t="s">
        <v>586</v>
      </c>
      <c r="C182" s="62">
        <v>24537861</v>
      </c>
      <c r="D182" s="69" t="s">
        <v>238</v>
      </c>
      <c r="E182" s="69" t="s">
        <v>232</v>
      </c>
      <c r="F182" s="68" t="s">
        <v>587</v>
      </c>
    </row>
    <row r="183" spans="1:6">
      <c r="A183" s="62">
        <v>279</v>
      </c>
      <c r="B183" s="68" t="s">
        <v>588</v>
      </c>
      <c r="C183" s="62">
        <v>26563270</v>
      </c>
      <c r="D183" s="69" t="s">
        <v>231</v>
      </c>
      <c r="E183" s="69" t="s">
        <v>232</v>
      </c>
      <c r="F183" s="68" t="s">
        <v>589</v>
      </c>
    </row>
    <row r="184" spans="1:6">
      <c r="A184" s="62">
        <v>335</v>
      </c>
      <c r="B184" s="68" t="s">
        <v>590</v>
      </c>
      <c r="C184" s="62">
        <v>27098060</v>
      </c>
      <c r="D184" s="69" t="s">
        <v>238</v>
      </c>
      <c r="E184" s="69" t="s">
        <v>232</v>
      </c>
      <c r="F184" s="68" t="s">
        <v>591</v>
      </c>
    </row>
    <row r="185" spans="1:6">
      <c r="A185" s="62">
        <v>349</v>
      </c>
      <c r="B185" s="68" t="s">
        <v>592</v>
      </c>
      <c r="C185" s="62">
        <v>27214112</v>
      </c>
      <c r="D185" s="69" t="s">
        <v>238</v>
      </c>
      <c r="E185" s="69" t="s">
        <v>232</v>
      </c>
      <c r="F185" s="68" t="s">
        <v>593</v>
      </c>
    </row>
    <row r="186" spans="1:6">
      <c r="A186" s="62">
        <v>427</v>
      </c>
      <c r="B186" s="68" t="s">
        <v>594</v>
      </c>
      <c r="C186" s="62">
        <v>27302181</v>
      </c>
      <c r="D186" s="69" t="s">
        <v>238</v>
      </c>
      <c r="E186" s="69" t="s">
        <v>232</v>
      </c>
      <c r="F186" s="68" t="s">
        <v>595</v>
      </c>
    </row>
    <row r="187" spans="1:6">
      <c r="A187" s="62">
        <v>374</v>
      </c>
      <c r="B187" s="68" t="s">
        <v>596</v>
      </c>
      <c r="C187" s="62">
        <v>27351731</v>
      </c>
      <c r="D187" s="69" t="s">
        <v>238</v>
      </c>
      <c r="E187" s="69" t="s">
        <v>232</v>
      </c>
      <c r="F187" s="68" t="s">
        <v>597</v>
      </c>
    </row>
    <row r="188" spans="1:6">
      <c r="A188" s="62">
        <v>278</v>
      </c>
      <c r="B188" s="68" t="s">
        <v>598</v>
      </c>
      <c r="C188" s="62">
        <v>27652684</v>
      </c>
      <c r="D188" s="69" t="s">
        <v>238</v>
      </c>
      <c r="E188" s="69" t="s">
        <v>232</v>
      </c>
      <c r="F188" s="68" t="s">
        <v>599</v>
      </c>
    </row>
    <row r="189" spans="1:6">
      <c r="A189" s="62">
        <v>271</v>
      </c>
      <c r="B189" s="68" t="s">
        <v>600</v>
      </c>
      <c r="C189" s="62">
        <v>27842177</v>
      </c>
      <c r="D189" s="69" t="s">
        <v>238</v>
      </c>
      <c r="E189" s="69" t="s">
        <v>232</v>
      </c>
      <c r="F189" s="68" t="s">
        <v>601</v>
      </c>
    </row>
    <row r="190" spans="1:6">
      <c r="A190" s="62">
        <v>21</v>
      </c>
      <c r="B190" s="68" t="s">
        <v>602</v>
      </c>
      <c r="C190" s="62">
        <v>28127603</v>
      </c>
      <c r="D190" s="69" t="s">
        <v>231</v>
      </c>
      <c r="E190" s="69" t="s">
        <v>232</v>
      </c>
      <c r="F190" s="68" t="s">
        <v>603</v>
      </c>
    </row>
    <row r="191" spans="1:6">
      <c r="A191" s="62">
        <v>246</v>
      </c>
      <c r="B191" s="68" t="s">
        <v>604</v>
      </c>
      <c r="C191" s="62">
        <v>28195667</v>
      </c>
      <c r="D191" s="69" t="s">
        <v>231</v>
      </c>
      <c r="E191" s="69" t="s">
        <v>232</v>
      </c>
      <c r="F191" s="68" t="s">
        <v>605</v>
      </c>
    </row>
    <row r="192" spans="1:6">
      <c r="A192" s="62">
        <v>292</v>
      </c>
      <c r="B192" s="68" t="s">
        <v>606</v>
      </c>
      <c r="C192" s="62">
        <v>28650236</v>
      </c>
      <c r="D192" s="69" t="s">
        <v>238</v>
      </c>
      <c r="E192" s="69" t="s">
        <v>232</v>
      </c>
      <c r="F192" s="68" t="s">
        <v>607</v>
      </c>
    </row>
    <row r="193" spans="1:6">
      <c r="A193" s="62">
        <v>0</v>
      </c>
      <c r="B193" s="68" t="s">
        <v>608</v>
      </c>
      <c r="C193" s="62">
        <v>28719664</v>
      </c>
      <c r="D193" s="69" t="s">
        <v>238</v>
      </c>
      <c r="E193" s="69" t="s">
        <v>232</v>
      </c>
      <c r="F193" s="68" t="s">
        <v>609</v>
      </c>
    </row>
    <row r="194" spans="1:6">
      <c r="A194" s="62">
        <v>554</v>
      </c>
      <c r="B194" s="68" t="s">
        <v>610</v>
      </c>
      <c r="C194" s="62">
        <v>28811341</v>
      </c>
      <c r="D194" s="69" t="s">
        <v>238</v>
      </c>
      <c r="E194" s="69" t="s">
        <v>232</v>
      </c>
      <c r="F194" s="68" t="s">
        <v>610</v>
      </c>
    </row>
    <row r="195" spans="1:6">
      <c r="A195" s="62" t="s">
        <v>237</v>
      </c>
      <c r="B195" s="68" t="s">
        <v>611</v>
      </c>
      <c r="C195" s="62">
        <v>29011780</v>
      </c>
      <c r="D195" s="69" t="s">
        <v>238</v>
      </c>
      <c r="E195" s="69" t="s">
        <v>232</v>
      </c>
      <c r="F195" s="68" t="s">
        <v>313</v>
      </c>
    </row>
    <row r="196" spans="1:6">
      <c r="A196" s="62">
        <v>751</v>
      </c>
      <c r="B196" s="68" t="s">
        <v>612</v>
      </c>
      <c r="C196" s="62">
        <v>29030467</v>
      </c>
      <c r="D196" s="69" t="s">
        <v>238</v>
      </c>
      <c r="E196" s="69" t="s">
        <v>232</v>
      </c>
      <c r="F196" s="68" t="s">
        <v>613</v>
      </c>
    </row>
    <row r="197" spans="1:6">
      <c r="A197" s="62">
        <v>352</v>
      </c>
      <c r="B197" s="68" t="s">
        <v>614</v>
      </c>
      <c r="C197" s="62">
        <v>29162769</v>
      </c>
      <c r="D197" s="69" t="s">
        <v>238</v>
      </c>
      <c r="E197" s="69" t="s">
        <v>232</v>
      </c>
      <c r="F197" s="68" t="s">
        <v>615</v>
      </c>
    </row>
    <row r="198" spans="1:6">
      <c r="A198" s="62">
        <v>208</v>
      </c>
      <c r="B198" s="68" t="s">
        <v>616</v>
      </c>
      <c r="C198" s="62">
        <v>30306294</v>
      </c>
      <c r="D198" s="69" t="s">
        <v>231</v>
      </c>
      <c r="E198" s="69" t="s">
        <v>232</v>
      </c>
      <c r="F198" s="68" t="s">
        <v>617</v>
      </c>
    </row>
    <row r="199" spans="1:6">
      <c r="A199" s="62">
        <v>386</v>
      </c>
      <c r="B199" s="68" t="s">
        <v>618</v>
      </c>
      <c r="C199" s="62">
        <v>30680829</v>
      </c>
      <c r="D199" s="69" t="s">
        <v>238</v>
      </c>
      <c r="E199" s="69" t="s">
        <v>232</v>
      </c>
      <c r="F199" s="68" t="s">
        <v>619</v>
      </c>
    </row>
    <row r="200" spans="1:6">
      <c r="A200" s="62">
        <v>746</v>
      </c>
      <c r="B200" s="68" t="s">
        <v>620</v>
      </c>
      <c r="C200" s="62">
        <v>30723886</v>
      </c>
      <c r="D200" s="69" t="s">
        <v>231</v>
      </c>
      <c r="E200" s="69" t="s">
        <v>232</v>
      </c>
      <c r="F200" s="68" t="s">
        <v>621</v>
      </c>
    </row>
    <row r="201" spans="1:6">
      <c r="A201" s="62">
        <v>557</v>
      </c>
      <c r="B201" s="68" t="s">
        <v>622</v>
      </c>
      <c r="C201" s="62">
        <v>30944783</v>
      </c>
      <c r="D201" s="69" t="s">
        <v>238</v>
      </c>
      <c r="E201" s="69" t="s">
        <v>232</v>
      </c>
      <c r="F201" s="68" t="s">
        <v>623</v>
      </c>
    </row>
    <row r="202" spans="1:6">
      <c r="A202" s="62">
        <v>546</v>
      </c>
      <c r="B202" s="68" t="s">
        <v>624</v>
      </c>
      <c r="C202" s="62">
        <v>30980539</v>
      </c>
      <c r="D202" s="69" t="s">
        <v>238</v>
      </c>
      <c r="E202" s="69" t="s">
        <v>232</v>
      </c>
      <c r="F202" s="68" t="s">
        <v>624</v>
      </c>
    </row>
    <row r="203" spans="1:6">
      <c r="A203" s="62">
        <v>241</v>
      </c>
      <c r="B203" s="68" t="s">
        <v>625</v>
      </c>
      <c r="C203" s="62">
        <v>31597552</v>
      </c>
      <c r="D203" s="69" t="s">
        <v>231</v>
      </c>
      <c r="E203" s="69" t="s">
        <v>232</v>
      </c>
      <c r="F203" s="68" t="s">
        <v>626</v>
      </c>
    </row>
    <row r="204" spans="1:6">
      <c r="A204" s="62">
        <v>398</v>
      </c>
      <c r="B204" s="68" t="s">
        <v>627</v>
      </c>
      <c r="C204" s="62">
        <v>31749596</v>
      </c>
      <c r="D204" s="69" t="s">
        <v>238</v>
      </c>
      <c r="E204" s="69" t="s">
        <v>232</v>
      </c>
      <c r="F204" s="68" t="s">
        <v>628</v>
      </c>
    </row>
    <row r="205" spans="1:6">
      <c r="A205" s="62">
        <v>336</v>
      </c>
      <c r="B205" s="68" t="s">
        <v>629</v>
      </c>
      <c r="C205" s="62">
        <v>31872495</v>
      </c>
      <c r="D205" s="69" t="s">
        <v>238</v>
      </c>
      <c r="E205" s="69" t="s">
        <v>232</v>
      </c>
      <c r="F205" s="68" t="s">
        <v>630</v>
      </c>
    </row>
    <row r="206" spans="1:6">
      <c r="A206" s="62">
        <v>612</v>
      </c>
      <c r="B206" s="68" t="s">
        <v>631</v>
      </c>
      <c r="C206" s="62">
        <v>31880826</v>
      </c>
      <c r="D206" s="69" t="s">
        <v>231</v>
      </c>
      <c r="E206" s="69" t="s">
        <v>232</v>
      </c>
      <c r="F206" s="68" t="s">
        <v>632</v>
      </c>
    </row>
    <row r="207" spans="1:6">
      <c r="A207" s="62">
        <v>604</v>
      </c>
      <c r="B207" s="68" t="s">
        <v>633</v>
      </c>
      <c r="C207" s="62">
        <v>31895683</v>
      </c>
      <c r="D207" s="69" t="s">
        <v>231</v>
      </c>
      <c r="E207" s="69" t="s">
        <v>232</v>
      </c>
      <c r="F207" s="68" t="s">
        <v>634</v>
      </c>
    </row>
    <row r="208" spans="1:6">
      <c r="A208" s="62">
        <v>505</v>
      </c>
      <c r="B208" s="68" t="s">
        <v>635</v>
      </c>
      <c r="C208" s="62">
        <v>32062580</v>
      </c>
      <c r="D208" s="69" t="s">
        <v>231</v>
      </c>
      <c r="E208" s="69" t="s">
        <v>232</v>
      </c>
      <c r="F208" s="68" t="s">
        <v>636</v>
      </c>
    </row>
    <row r="209" spans="1:6">
      <c r="A209" s="62">
        <v>550</v>
      </c>
      <c r="B209" s="68" t="s">
        <v>637</v>
      </c>
      <c r="C209" s="62">
        <v>32074986</v>
      </c>
      <c r="D209" s="69" t="s">
        <v>238</v>
      </c>
      <c r="E209" s="69" t="s">
        <v>232</v>
      </c>
      <c r="F209" s="68" t="s">
        <v>638</v>
      </c>
    </row>
    <row r="210" spans="1:6">
      <c r="A210" s="62">
        <v>552</v>
      </c>
      <c r="B210" s="68" t="s">
        <v>639</v>
      </c>
      <c r="C210" s="62">
        <v>32192325</v>
      </c>
      <c r="D210" s="69" t="s">
        <v>238</v>
      </c>
      <c r="E210" s="69" t="s">
        <v>232</v>
      </c>
      <c r="F210" s="68" t="s">
        <v>640</v>
      </c>
    </row>
    <row r="211" spans="1:6">
      <c r="A211" s="62">
        <v>329</v>
      </c>
      <c r="B211" s="68" t="s">
        <v>641</v>
      </c>
      <c r="C211" s="62">
        <v>32402502</v>
      </c>
      <c r="D211" s="69" t="s">
        <v>238</v>
      </c>
      <c r="E211" s="69" t="s">
        <v>232</v>
      </c>
      <c r="F211" s="68" t="s">
        <v>642</v>
      </c>
    </row>
    <row r="212" spans="1:6">
      <c r="A212" s="62">
        <v>196</v>
      </c>
      <c r="B212" s="68" t="s">
        <v>643</v>
      </c>
      <c r="C212" s="62">
        <v>32648370</v>
      </c>
      <c r="D212" s="69" t="s">
        <v>238</v>
      </c>
      <c r="E212" s="69" t="s">
        <v>365</v>
      </c>
      <c r="F212" s="68" t="s">
        <v>644</v>
      </c>
    </row>
    <row r="213" spans="1:6">
      <c r="A213" s="62">
        <v>342</v>
      </c>
      <c r="B213" s="68" t="s">
        <v>645</v>
      </c>
      <c r="C213" s="62">
        <v>32997490</v>
      </c>
      <c r="D213" s="69" t="s">
        <v>238</v>
      </c>
      <c r="E213" s="69" t="s">
        <v>232</v>
      </c>
      <c r="F213" s="68" t="s">
        <v>646</v>
      </c>
    </row>
    <row r="214" spans="1:6">
      <c r="A214" s="62">
        <v>567</v>
      </c>
      <c r="B214" s="68" t="s">
        <v>647</v>
      </c>
      <c r="C214" s="62">
        <v>33040601</v>
      </c>
      <c r="D214" s="69" t="s">
        <v>238</v>
      </c>
      <c r="E214" s="69" t="s">
        <v>365</v>
      </c>
      <c r="F214" s="68" t="s">
        <v>648</v>
      </c>
    </row>
    <row r="215" spans="1:6">
      <c r="A215" s="62">
        <v>300</v>
      </c>
      <c r="B215" s="68" t="s">
        <v>649</v>
      </c>
      <c r="C215" s="62">
        <v>33042151</v>
      </c>
      <c r="D215" s="69" t="s">
        <v>231</v>
      </c>
      <c r="E215" s="69" t="s">
        <v>232</v>
      </c>
      <c r="F215" s="68" t="s">
        <v>650</v>
      </c>
    </row>
    <row r="216" spans="1:6">
      <c r="A216" s="62">
        <v>477</v>
      </c>
      <c r="B216" s="68" t="s">
        <v>651</v>
      </c>
      <c r="C216" s="62">
        <v>33042953</v>
      </c>
      <c r="D216" s="69" t="s">
        <v>231</v>
      </c>
      <c r="E216" s="69" t="s">
        <v>232</v>
      </c>
      <c r="F216" s="68" t="s">
        <v>652</v>
      </c>
    </row>
    <row r="217" spans="1:6">
      <c r="A217" s="62">
        <v>266</v>
      </c>
      <c r="B217" s="68" t="s">
        <v>653</v>
      </c>
      <c r="C217" s="62">
        <v>33132044</v>
      </c>
      <c r="D217" s="69" t="s">
        <v>231</v>
      </c>
      <c r="E217" s="69" t="s">
        <v>232</v>
      </c>
      <c r="F217" s="68" t="s">
        <v>654</v>
      </c>
    </row>
    <row r="218" spans="1:6">
      <c r="A218" s="62">
        <v>122</v>
      </c>
      <c r="B218" s="68" t="s">
        <v>655</v>
      </c>
      <c r="C218" s="62">
        <v>33147315</v>
      </c>
      <c r="D218" s="69" t="s">
        <v>231</v>
      </c>
      <c r="E218" s="69" t="s">
        <v>232</v>
      </c>
      <c r="F218" s="68" t="s">
        <v>656</v>
      </c>
    </row>
    <row r="219" spans="1:6">
      <c r="A219" s="62">
        <v>376</v>
      </c>
      <c r="B219" s="68" t="s">
        <v>657</v>
      </c>
      <c r="C219" s="62">
        <v>33172537</v>
      </c>
      <c r="D219" s="69" t="s">
        <v>238</v>
      </c>
      <c r="E219" s="69" t="s">
        <v>232</v>
      </c>
      <c r="F219" s="68" t="s">
        <v>658</v>
      </c>
    </row>
    <row r="220" spans="1:6">
      <c r="A220" s="62">
        <v>348</v>
      </c>
      <c r="B220" s="68" t="s">
        <v>659</v>
      </c>
      <c r="C220" s="62">
        <v>33264668</v>
      </c>
      <c r="D220" s="69" t="s">
        <v>238</v>
      </c>
      <c r="E220" s="69" t="s">
        <v>232</v>
      </c>
      <c r="F220" s="68" t="s">
        <v>660</v>
      </c>
    </row>
    <row r="221" spans="1:6">
      <c r="A221" s="62">
        <v>473</v>
      </c>
      <c r="B221" s="68" t="s">
        <v>661</v>
      </c>
      <c r="C221" s="62">
        <v>33466988</v>
      </c>
      <c r="D221" s="69" t="s">
        <v>238</v>
      </c>
      <c r="E221" s="69" t="s">
        <v>232</v>
      </c>
      <c r="F221" s="68" t="s">
        <v>662</v>
      </c>
    </row>
    <row r="222" spans="1:6">
      <c r="A222" s="62">
        <v>745</v>
      </c>
      <c r="B222" s="68" t="s">
        <v>663</v>
      </c>
      <c r="C222" s="62">
        <v>33479023</v>
      </c>
      <c r="D222" s="69" t="s">
        <v>231</v>
      </c>
      <c r="E222" s="69" t="s">
        <v>232</v>
      </c>
      <c r="F222" s="68" t="s">
        <v>664</v>
      </c>
    </row>
    <row r="223" spans="1:6">
      <c r="A223" s="62">
        <v>120</v>
      </c>
      <c r="B223" s="68" t="s">
        <v>665</v>
      </c>
      <c r="C223" s="62">
        <v>33603457</v>
      </c>
      <c r="D223" s="69" t="s">
        <v>231</v>
      </c>
      <c r="E223" s="69" t="s">
        <v>232</v>
      </c>
      <c r="F223" s="68" t="s">
        <v>666</v>
      </c>
    </row>
    <row r="224" spans="1:6">
      <c r="A224" s="62">
        <v>265</v>
      </c>
      <c r="B224" s="68" t="s">
        <v>667</v>
      </c>
      <c r="C224" s="62">
        <v>33644196</v>
      </c>
      <c r="D224" s="69" t="s">
        <v>231</v>
      </c>
      <c r="E224" s="69" t="s">
        <v>232</v>
      </c>
      <c r="F224" s="68" t="s">
        <v>668</v>
      </c>
    </row>
    <row r="225" spans="1:6">
      <c r="A225" s="62">
        <v>7</v>
      </c>
      <c r="B225" s="68" t="s">
        <v>669</v>
      </c>
      <c r="C225" s="62">
        <v>33657248</v>
      </c>
      <c r="D225" s="69" t="s">
        <v>238</v>
      </c>
      <c r="E225" s="69" t="s">
        <v>232</v>
      </c>
      <c r="F225" s="68" t="s">
        <v>670</v>
      </c>
    </row>
    <row r="226" spans="1:6">
      <c r="A226" s="62">
        <v>188</v>
      </c>
      <c r="B226" s="68" t="s">
        <v>671</v>
      </c>
      <c r="C226" s="62">
        <v>33775974</v>
      </c>
      <c r="D226" s="69" t="s">
        <v>238</v>
      </c>
      <c r="E226" s="69" t="s">
        <v>232</v>
      </c>
      <c r="F226" s="68" t="s">
        <v>672</v>
      </c>
    </row>
    <row r="227" spans="1:6">
      <c r="A227" s="62">
        <v>134</v>
      </c>
      <c r="B227" s="68" t="s">
        <v>673</v>
      </c>
      <c r="C227" s="62">
        <v>33862244</v>
      </c>
      <c r="D227" s="69" t="s">
        <v>238</v>
      </c>
      <c r="E227" s="69" t="s">
        <v>232</v>
      </c>
      <c r="F227" s="68" t="s">
        <v>674</v>
      </c>
    </row>
    <row r="228" spans="1:6">
      <c r="A228" s="62">
        <v>29</v>
      </c>
      <c r="B228" s="68" t="s">
        <v>675</v>
      </c>
      <c r="C228" s="62">
        <v>33885724</v>
      </c>
      <c r="D228" s="69" t="s">
        <v>238</v>
      </c>
      <c r="E228" s="69" t="s">
        <v>232</v>
      </c>
      <c r="F228" s="68" t="s">
        <v>676</v>
      </c>
    </row>
    <row r="229" spans="1:6">
      <c r="A229" s="62">
        <v>467</v>
      </c>
      <c r="B229" s="68" t="s">
        <v>677</v>
      </c>
      <c r="C229" s="62">
        <v>33886862</v>
      </c>
      <c r="D229" s="69" t="s">
        <v>238</v>
      </c>
      <c r="E229" s="69" t="s">
        <v>232</v>
      </c>
      <c r="F229" s="68" t="s">
        <v>678</v>
      </c>
    </row>
    <row r="230" spans="1:6">
      <c r="A230" s="62">
        <v>243</v>
      </c>
      <c r="B230" s="68" t="s">
        <v>679</v>
      </c>
      <c r="C230" s="62">
        <v>33923798</v>
      </c>
      <c r="D230" s="69" t="s">
        <v>231</v>
      </c>
      <c r="E230" s="69" t="s">
        <v>232</v>
      </c>
      <c r="F230" s="68" t="s">
        <v>680</v>
      </c>
    </row>
    <row r="231" spans="1:6">
      <c r="A231" s="62">
        <v>397</v>
      </c>
      <c r="B231" s="68" t="s">
        <v>681</v>
      </c>
      <c r="C231" s="62">
        <v>34088029</v>
      </c>
      <c r="D231" s="69" t="s">
        <v>238</v>
      </c>
      <c r="E231" s="69" t="s">
        <v>232</v>
      </c>
      <c r="F231" s="68" t="s">
        <v>682</v>
      </c>
    </row>
    <row r="232" spans="1:6">
      <c r="A232" s="62">
        <v>78</v>
      </c>
      <c r="B232" s="68" t="s">
        <v>683</v>
      </c>
      <c r="C232" s="62">
        <v>34111187</v>
      </c>
      <c r="D232" s="69" t="s">
        <v>238</v>
      </c>
      <c r="E232" s="69" t="s">
        <v>232</v>
      </c>
      <c r="F232" s="68" t="s">
        <v>684</v>
      </c>
    </row>
    <row r="233" spans="1:6">
      <c r="A233" s="62">
        <v>525</v>
      </c>
      <c r="B233" s="68" t="s">
        <v>685</v>
      </c>
      <c r="C233" s="62">
        <v>34265629</v>
      </c>
      <c r="D233" s="69" t="s">
        <v>238</v>
      </c>
      <c r="E233" s="69" t="s">
        <v>232</v>
      </c>
      <c r="F233" s="68" t="s">
        <v>686</v>
      </c>
    </row>
    <row r="234" spans="1:6">
      <c r="A234" s="62">
        <v>355</v>
      </c>
      <c r="B234" s="68" t="s">
        <v>687</v>
      </c>
      <c r="C234" s="62">
        <v>34335592</v>
      </c>
      <c r="D234" s="69" t="s">
        <v>238</v>
      </c>
      <c r="E234" s="69" t="s">
        <v>365</v>
      </c>
      <c r="F234" s="68" t="s">
        <v>688</v>
      </c>
    </row>
    <row r="235" spans="1:6">
      <c r="A235" s="62">
        <v>531</v>
      </c>
      <c r="B235" s="68" t="s">
        <v>689</v>
      </c>
      <c r="C235" s="62">
        <v>34337707</v>
      </c>
      <c r="D235" s="69" t="s">
        <v>238</v>
      </c>
      <c r="E235" s="69" t="s">
        <v>232</v>
      </c>
      <c r="F235" s="68" t="s">
        <v>690</v>
      </c>
    </row>
    <row r="236" spans="1:6">
      <c r="A236" s="62">
        <v>367</v>
      </c>
      <c r="B236" s="68" t="s">
        <v>691</v>
      </c>
      <c r="C236" s="62">
        <v>34711571</v>
      </c>
      <c r="D236" s="69" t="s">
        <v>238</v>
      </c>
      <c r="E236" s="69" t="s">
        <v>232</v>
      </c>
      <c r="F236" s="68" t="s">
        <v>692</v>
      </c>
    </row>
    <row r="237" spans="1:6">
      <c r="A237" s="62">
        <v>528</v>
      </c>
      <c r="B237" s="68" t="s">
        <v>693</v>
      </c>
      <c r="C237" s="62">
        <v>34829992</v>
      </c>
      <c r="D237" s="69" t="s">
        <v>238</v>
      </c>
      <c r="E237" s="69" t="s">
        <v>232</v>
      </c>
      <c r="F237" s="68" t="s">
        <v>694</v>
      </c>
    </row>
    <row r="238" spans="1:6">
      <c r="A238" s="62">
        <v>445</v>
      </c>
      <c r="B238" s="68" t="s">
        <v>695</v>
      </c>
      <c r="C238" s="62">
        <v>35551187</v>
      </c>
      <c r="D238" s="69" t="s">
        <v>238</v>
      </c>
      <c r="E238" s="69" t="s">
        <v>232</v>
      </c>
      <c r="F238" s="68" t="s">
        <v>696</v>
      </c>
    </row>
    <row r="239" spans="1:6">
      <c r="A239" s="62">
        <v>373</v>
      </c>
      <c r="B239" s="68" t="s">
        <v>697</v>
      </c>
      <c r="C239" s="62">
        <v>35977097</v>
      </c>
      <c r="D239" s="69" t="s">
        <v>238</v>
      </c>
      <c r="E239" s="69" t="s">
        <v>232</v>
      </c>
      <c r="F239" s="68" t="s">
        <v>698</v>
      </c>
    </row>
    <row r="240" spans="1:6">
      <c r="A240" s="62">
        <v>111</v>
      </c>
      <c r="B240" s="68" t="s">
        <v>699</v>
      </c>
      <c r="C240" s="62">
        <v>36113876</v>
      </c>
      <c r="D240" s="69" t="s">
        <v>238</v>
      </c>
      <c r="E240" s="69" t="s">
        <v>232</v>
      </c>
      <c r="F240" s="68" t="s">
        <v>700</v>
      </c>
    </row>
    <row r="241" spans="1:6">
      <c r="A241" s="62">
        <v>512</v>
      </c>
      <c r="B241" s="68" t="s">
        <v>701</v>
      </c>
      <c r="C241" s="62">
        <v>36266751</v>
      </c>
      <c r="D241" s="69" t="s">
        <v>238</v>
      </c>
      <c r="E241" s="69" t="s">
        <v>232</v>
      </c>
      <c r="F241" s="68" t="s">
        <v>702</v>
      </c>
    </row>
    <row r="242" spans="1:6">
      <c r="A242" s="62">
        <v>516</v>
      </c>
      <c r="B242" s="68" t="s">
        <v>703</v>
      </c>
      <c r="C242" s="62">
        <v>36583700</v>
      </c>
      <c r="D242" s="69" t="s">
        <v>238</v>
      </c>
      <c r="E242" s="69" t="s">
        <v>232</v>
      </c>
      <c r="F242" s="68" t="s">
        <v>704</v>
      </c>
    </row>
    <row r="243" spans="1:6">
      <c r="A243" s="62">
        <v>408</v>
      </c>
      <c r="B243" s="68" t="s">
        <v>705</v>
      </c>
      <c r="C243" s="62">
        <v>36586946</v>
      </c>
      <c r="D243" s="69" t="s">
        <v>238</v>
      </c>
      <c r="E243" s="69" t="s">
        <v>232</v>
      </c>
      <c r="F243" s="68" t="s">
        <v>706</v>
      </c>
    </row>
    <row r="244" spans="1:6">
      <c r="A244" s="62">
        <v>484</v>
      </c>
      <c r="B244" s="68" t="s">
        <v>707</v>
      </c>
      <c r="C244" s="62">
        <v>36864992</v>
      </c>
      <c r="D244" s="69" t="s">
        <v>238</v>
      </c>
      <c r="E244" s="69" t="s">
        <v>232</v>
      </c>
      <c r="F244" s="68" t="s">
        <v>708</v>
      </c>
    </row>
    <row r="245" spans="1:6">
      <c r="A245" s="62">
        <v>402</v>
      </c>
      <c r="B245" s="68" t="s">
        <v>709</v>
      </c>
      <c r="C245" s="62">
        <v>36947229</v>
      </c>
      <c r="D245" s="69" t="s">
        <v>238</v>
      </c>
      <c r="E245" s="69" t="s">
        <v>232</v>
      </c>
      <c r="F245" s="68" t="s">
        <v>710</v>
      </c>
    </row>
    <row r="246" spans="1:6">
      <c r="A246" s="62">
        <v>507</v>
      </c>
      <c r="B246" s="68" t="s">
        <v>711</v>
      </c>
      <c r="C246" s="62">
        <v>37229413</v>
      </c>
      <c r="D246" s="69" t="s">
        <v>238</v>
      </c>
      <c r="E246" s="69" t="s">
        <v>232</v>
      </c>
      <c r="F246" s="68" t="s">
        <v>712</v>
      </c>
    </row>
    <row r="247" spans="1:6">
      <c r="A247" s="62">
        <v>404</v>
      </c>
      <c r="B247" s="68" t="s">
        <v>713</v>
      </c>
      <c r="C247" s="62">
        <v>37241230</v>
      </c>
      <c r="D247" s="69" t="s">
        <v>238</v>
      </c>
      <c r="E247" s="69" t="s">
        <v>232</v>
      </c>
      <c r="F247" s="68" t="s">
        <v>714</v>
      </c>
    </row>
    <row r="248" spans="1:6">
      <c r="A248" s="62">
        <v>418</v>
      </c>
      <c r="B248" s="68" t="s">
        <v>715</v>
      </c>
      <c r="C248" s="62">
        <v>37414009</v>
      </c>
      <c r="D248" s="69" t="s">
        <v>238</v>
      </c>
      <c r="E248" s="69" t="s">
        <v>232</v>
      </c>
      <c r="F248" s="68" t="s">
        <v>716</v>
      </c>
    </row>
    <row r="249" spans="1:6">
      <c r="A249" s="62">
        <v>414</v>
      </c>
      <c r="B249" s="68" t="s">
        <v>717</v>
      </c>
      <c r="C249" s="62">
        <v>37526080</v>
      </c>
      <c r="D249" s="69" t="s">
        <v>238</v>
      </c>
      <c r="E249" s="69" t="s">
        <v>232</v>
      </c>
      <c r="F249" s="68" t="s">
        <v>718</v>
      </c>
    </row>
    <row r="250" spans="1:6">
      <c r="A250" s="62">
        <v>449</v>
      </c>
      <c r="B250" s="68" t="s">
        <v>719</v>
      </c>
      <c r="C250" s="62">
        <v>37555231</v>
      </c>
      <c r="D250" s="69" t="s">
        <v>238</v>
      </c>
      <c r="E250" s="69" t="s">
        <v>232</v>
      </c>
      <c r="F250" s="68" t="s">
        <v>720</v>
      </c>
    </row>
    <row r="251" spans="1:6">
      <c r="A251" s="62">
        <v>518</v>
      </c>
      <c r="B251" s="68" t="s">
        <v>721</v>
      </c>
      <c r="C251" s="62">
        <v>37679449</v>
      </c>
      <c r="D251" s="69" t="s">
        <v>238</v>
      </c>
      <c r="E251" s="69" t="s">
        <v>232</v>
      </c>
      <c r="F251" s="68" t="s">
        <v>722</v>
      </c>
    </row>
    <row r="252" spans="1:6">
      <c r="A252" s="62">
        <v>406</v>
      </c>
      <c r="B252" s="68" t="s">
        <v>723</v>
      </c>
      <c r="C252" s="62">
        <v>37715993</v>
      </c>
      <c r="D252" s="69" t="s">
        <v>238</v>
      </c>
      <c r="E252" s="69" t="s">
        <v>232</v>
      </c>
      <c r="F252" s="68" t="s">
        <v>724</v>
      </c>
    </row>
    <row r="253" spans="1:6">
      <c r="A253" s="62">
        <v>403</v>
      </c>
      <c r="B253" s="68" t="s">
        <v>725</v>
      </c>
      <c r="C253" s="62">
        <v>37880206</v>
      </c>
      <c r="D253" s="69" t="s">
        <v>238</v>
      </c>
      <c r="E253" s="69" t="s">
        <v>232</v>
      </c>
      <c r="F253" s="68" t="s">
        <v>726</v>
      </c>
    </row>
    <row r="254" spans="1:6">
      <c r="A254" s="62">
        <v>419</v>
      </c>
      <c r="B254" s="68" t="s">
        <v>727</v>
      </c>
      <c r="C254" s="62">
        <v>38129006</v>
      </c>
      <c r="D254" s="69" t="s">
        <v>238</v>
      </c>
      <c r="E254" s="69" t="s">
        <v>232</v>
      </c>
      <c r="F254" s="68" t="s">
        <v>728</v>
      </c>
    </row>
    <row r="255" spans="1:6">
      <c r="A255" s="62">
        <v>435</v>
      </c>
      <c r="B255" s="68" t="s">
        <v>729</v>
      </c>
      <c r="C255" s="62">
        <v>38224857</v>
      </c>
      <c r="D255" s="69" t="s">
        <v>231</v>
      </c>
      <c r="E255" s="69" t="s">
        <v>232</v>
      </c>
      <c r="F255" s="68" t="s">
        <v>730</v>
      </c>
    </row>
    <row r="256" spans="1:6">
      <c r="A256" s="62">
        <v>455</v>
      </c>
      <c r="B256" s="68" t="s">
        <v>731</v>
      </c>
      <c r="C256" s="62">
        <v>38429045</v>
      </c>
      <c r="D256" s="69" t="s">
        <v>238</v>
      </c>
      <c r="E256" s="69" t="s">
        <v>232</v>
      </c>
      <c r="F256" s="68" t="s">
        <v>732</v>
      </c>
    </row>
    <row r="257" spans="1:6">
      <c r="A257" s="62">
        <v>544</v>
      </c>
      <c r="B257" s="68" t="s">
        <v>733</v>
      </c>
      <c r="C257" s="62">
        <v>38593706</v>
      </c>
      <c r="D257" s="69" t="s">
        <v>238</v>
      </c>
      <c r="E257" s="69" t="s">
        <v>232</v>
      </c>
      <c r="F257" s="68" t="s">
        <v>734</v>
      </c>
    </row>
    <row r="258" spans="1:6">
      <c r="A258" s="62">
        <v>421</v>
      </c>
      <c r="B258" s="68" t="s">
        <v>735</v>
      </c>
      <c r="C258" s="62">
        <v>39343350</v>
      </c>
      <c r="D258" s="69" t="s">
        <v>231</v>
      </c>
      <c r="E258" s="69" t="s">
        <v>232</v>
      </c>
      <c r="F258" s="68" t="s">
        <v>736</v>
      </c>
    </row>
    <row r="259" spans="1:6">
      <c r="A259" s="62">
        <v>443</v>
      </c>
      <c r="B259" s="68" t="s">
        <v>737</v>
      </c>
      <c r="C259" s="62">
        <v>39416705</v>
      </c>
      <c r="D259" s="69" t="s">
        <v>238</v>
      </c>
      <c r="E259" s="69" t="s">
        <v>232</v>
      </c>
      <c r="F259" s="68" t="s">
        <v>738</v>
      </c>
    </row>
    <row r="260" spans="1:6">
      <c r="A260" s="62">
        <v>535</v>
      </c>
      <c r="B260" s="68" t="s">
        <v>739</v>
      </c>
      <c r="C260" s="62">
        <v>39519944</v>
      </c>
      <c r="D260" s="69" t="s">
        <v>238</v>
      </c>
      <c r="E260" s="69" t="s">
        <v>232</v>
      </c>
      <c r="F260" s="68" t="s">
        <v>740</v>
      </c>
    </row>
    <row r="261" spans="1:6">
      <c r="A261" s="62">
        <v>457</v>
      </c>
      <c r="B261" s="68" t="s">
        <v>741</v>
      </c>
      <c r="C261" s="62">
        <v>39587424</v>
      </c>
      <c r="D261" s="69" t="s">
        <v>238</v>
      </c>
      <c r="E261" s="69" t="s">
        <v>232</v>
      </c>
      <c r="F261" s="68" t="s">
        <v>742</v>
      </c>
    </row>
    <row r="262" spans="1:6">
      <c r="A262" s="62">
        <v>428</v>
      </c>
      <c r="B262" s="68" t="s">
        <v>743</v>
      </c>
      <c r="C262" s="62">
        <v>39664698</v>
      </c>
      <c r="D262" s="69" t="s">
        <v>238</v>
      </c>
      <c r="E262" s="69" t="s">
        <v>232</v>
      </c>
      <c r="F262" s="68" t="s">
        <v>744</v>
      </c>
    </row>
    <row r="263" spans="1:6">
      <c r="A263" s="62">
        <v>448</v>
      </c>
      <c r="B263" s="68" t="s">
        <v>745</v>
      </c>
      <c r="C263" s="62">
        <v>39669186</v>
      </c>
      <c r="D263" s="69" t="s">
        <v>238</v>
      </c>
      <c r="E263" s="69" t="s">
        <v>232</v>
      </c>
      <c r="F263" s="68" t="s">
        <v>746</v>
      </c>
    </row>
    <row r="264" spans="1:6">
      <c r="A264" s="62">
        <v>452</v>
      </c>
      <c r="B264" s="68" t="s">
        <v>747</v>
      </c>
      <c r="C264" s="62">
        <v>39676772</v>
      </c>
      <c r="D264" s="69" t="s">
        <v>238</v>
      </c>
      <c r="E264" s="69" t="s">
        <v>232</v>
      </c>
      <c r="F264" s="68" t="s">
        <v>748</v>
      </c>
    </row>
    <row r="265" spans="1:6">
      <c r="A265" s="62">
        <v>510</v>
      </c>
      <c r="B265" s="68" t="s">
        <v>749</v>
      </c>
      <c r="C265" s="62">
        <v>39738065</v>
      </c>
      <c r="D265" s="69" t="s">
        <v>238</v>
      </c>
      <c r="E265" s="69" t="s">
        <v>232</v>
      </c>
      <c r="F265" s="68" t="s">
        <v>750</v>
      </c>
    </row>
    <row r="266" spans="1:6">
      <c r="A266" s="62">
        <v>462</v>
      </c>
      <c r="B266" s="68" t="s">
        <v>751</v>
      </c>
      <c r="C266" s="62">
        <v>39908427</v>
      </c>
      <c r="D266" s="69" t="s">
        <v>238</v>
      </c>
      <c r="E266" s="69" t="s">
        <v>365</v>
      </c>
      <c r="F266" s="68" t="s">
        <v>752</v>
      </c>
    </row>
    <row r="267" spans="1:6">
      <c r="A267" s="62">
        <v>465</v>
      </c>
      <c r="B267" s="68" t="s">
        <v>753</v>
      </c>
      <c r="C267" s="62">
        <v>40083667</v>
      </c>
      <c r="D267" s="69" t="s">
        <v>238</v>
      </c>
      <c r="E267" s="69" t="s">
        <v>232</v>
      </c>
      <c r="F267" s="68" t="s">
        <v>754</v>
      </c>
    </row>
    <row r="268" spans="1:6">
      <c r="A268" s="62">
        <v>563</v>
      </c>
      <c r="B268" s="68" t="s">
        <v>755</v>
      </c>
      <c r="C268" s="62">
        <v>40276692</v>
      </c>
      <c r="D268" s="69" t="s">
        <v>238</v>
      </c>
      <c r="E268" s="69" t="s">
        <v>232</v>
      </c>
      <c r="F268" s="68" t="s">
        <v>756</v>
      </c>
    </row>
    <row r="269" spans="1:6">
      <c r="A269" s="62">
        <v>306</v>
      </c>
      <c r="B269" s="68" t="s">
        <v>757</v>
      </c>
      <c r="C269" s="62">
        <v>40303299</v>
      </c>
      <c r="D269" s="69" t="s">
        <v>238</v>
      </c>
      <c r="E269" s="69" t="s">
        <v>232</v>
      </c>
      <c r="F269" s="68" t="s">
        <v>758</v>
      </c>
    </row>
    <row r="270" spans="1:6">
      <c r="A270" s="62">
        <v>556</v>
      </c>
      <c r="B270" s="68" t="s">
        <v>759</v>
      </c>
      <c r="C270" s="62">
        <v>40333582</v>
      </c>
      <c r="D270" s="69" t="s">
        <v>238</v>
      </c>
      <c r="E270" s="69" t="s">
        <v>232</v>
      </c>
      <c r="F270" s="68" t="s">
        <v>760</v>
      </c>
    </row>
    <row r="271" spans="1:6">
      <c r="A271" s="62">
        <v>463</v>
      </c>
      <c r="B271" s="68" t="s">
        <v>761</v>
      </c>
      <c r="C271" s="62">
        <v>40434681</v>
      </c>
      <c r="D271" s="69" t="s">
        <v>238</v>
      </c>
      <c r="E271" s="69" t="s">
        <v>232</v>
      </c>
      <c r="F271" s="68" t="s">
        <v>762</v>
      </c>
    </row>
    <row r="272" spans="1:6">
      <c r="A272" s="62">
        <v>451</v>
      </c>
      <c r="B272" s="68" t="s">
        <v>763</v>
      </c>
      <c r="C272" s="62">
        <v>40475846</v>
      </c>
      <c r="D272" s="69" t="s">
        <v>238</v>
      </c>
      <c r="E272" s="69" t="s">
        <v>232</v>
      </c>
      <c r="F272" s="68" t="s">
        <v>764</v>
      </c>
    </row>
    <row r="273" spans="1:6">
      <c r="A273" s="62">
        <v>444</v>
      </c>
      <c r="B273" s="68" t="s">
        <v>765</v>
      </c>
      <c r="C273" s="62">
        <v>40654622</v>
      </c>
      <c r="D273" s="69" t="s">
        <v>238</v>
      </c>
      <c r="E273" s="69" t="s">
        <v>232</v>
      </c>
      <c r="F273" s="68" t="s">
        <v>766</v>
      </c>
    </row>
    <row r="274" spans="1:6">
      <c r="A274" s="62">
        <v>519</v>
      </c>
      <c r="B274" s="68" t="s">
        <v>767</v>
      </c>
      <c r="C274" s="62">
        <v>40768766</v>
      </c>
      <c r="D274" s="69" t="s">
        <v>238</v>
      </c>
      <c r="E274" s="69" t="s">
        <v>232</v>
      </c>
      <c r="F274" s="68" t="s">
        <v>768</v>
      </c>
    </row>
    <row r="275" spans="1:6">
      <c r="A275" s="62">
        <v>454</v>
      </c>
      <c r="B275" s="68" t="s">
        <v>769</v>
      </c>
      <c r="C275" s="62">
        <v>41592532</v>
      </c>
      <c r="D275" s="69" t="s">
        <v>238</v>
      </c>
      <c r="E275" s="69" t="s">
        <v>232</v>
      </c>
      <c r="F275" s="68" t="s">
        <v>770</v>
      </c>
    </row>
    <row r="276" spans="1:6">
      <c r="A276" s="62">
        <v>460</v>
      </c>
      <c r="B276" s="68" t="s">
        <v>771</v>
      </c>
      <c r="C276" s="62">
        <v>42047025</v>
      </c>
      <c r="D276" s="69" t="s">
        <v>238</v>
      </c>
      <c r="E276" s="69" t="s">
        <v>232</v>
      </c>
      <c r="F276" s="68" t="s">
        <v>772</v>
      </c>
    </row>
    <row r="277" spans="1:6">
      <c r="A277" s="62">
        <v>506</v>
      </c>
      <c r="B277" s="68" t="s">
        <v>773</v>
      </c>
      <c r="C277" s="62">
        <v>42066258</v>
      </c>
      <c r="D277" s="69" t="s">
        <v>238</v>
      </c>
      <c r="E277" s="69" t="s">
        <v>232</v>
      </c>
      <c r="F277" s="68" t="s">
        <v>774</v>
      </c>
    </row>
    <row r="278" spans="1:6">
      <c r="A278" s="62">
        <v>482</v>
      </c>
      <c r="B278" s="68" t="s">
        <v>775</v>
      </c>
      <c r="C278" s="62">
        <v>42259084</v>
      </c>
      <c r="D278" s="69" t="s">
        <v>238</v>
      </c>
      <c r="E278" s="69" t="s">
        <v>232</v>
      </c>
      <c r="F278" s="68" t="s">
        <v>776</v>
      </c>
    </row>
    <row r="279" spans="1:6">
      <c r="A279" s="62">
        <v>17</v>
      </c>
      <c r="B279" s="68" t="s">
        <v>777</v>
      </c>
      <c r="C279" s="62">
        <v>42272526</v>
      </c>
      <c r="D279" s="69" t="s">
        <v>238</v>
      </c>
      <c r="E279" s="69" t="s">
        <v>232</v>
      </c>
      <c r="F279" s="68" t="s">
        <v>778</v>
      </c>
    </row>
    <row r="280" spans="1:6">
      <c r="A280" s="62">
        <v>174</v>
      </c>
      <c r="B280" s="68" t="s">
        <v>779</v>
      </c>
      <c r="C280" s="62">
        <v>43180355</v>
      </c>
      <c r="D280" s="69" t="s">
        <v>238</v>
      </c>
      <c r="E280" s="69" t="s">
        <v>232</v>
      </c>
      <c r="F280" s="68" t="s">
        <v>780</v>
      </c>
    </row>
    <row r="281" spans="1:6">
      <c r="A281" s="62">
        <v>481</v>
      </c>
      <c r="B281" s="68" t="s">
        <v>781</v>
      </c>
      <c r="C281" s="62">
        <v>43599047</v>
      </c>
      <c r="D281" s="69" t="s">
        <v>238</v>
      </c>
      <c r="E281" s="69" t="s">
        <v>232</v>
      </c>
      <c r="F281" s="68" t="s">
        <v>782</v>
      </c>
    </row>
    <row r="282" spans="1:6">
      <c r="A282" s="62">
        <v>521</v>
      </c>
      <c r="B282" s="68" t="s">
        <v>783</v>
      </c>
      <c r="C282" s="62">
        <v>44019481</v>
      </c>
      <c r="D282" s="69" t="s">
        <v>238</v>
      </c>
      <c r="E282" s="69" t="s">
        <v>232</v>
      </c>
      <c r="F282" s="68" t="s">
        <v>784</v>
      </c>
    </row>
    <row r="283" spans="1:6">
      <c r="A283" s="62">
        <v>433</v>
      </c>
      <c r="B283" s="68" t="s">
        <v>785</v>
      </c>
      <c r="C283" s="62">
        <v>44077014</v>
      </c>
      <c r="D283" s="69" t="s">
        <v>238</v>
      </c>
      <c r="E283" s="69" t="s">
        <v>232</v>
      </c>
      <c r="F283" s="68" t="s">
        <v>786</v>
      </c>
    </row>
    <row r="284" spans="1:6">
      <c r="A284" s="62">
        <v>495</v>
      </c>
      <c r="B284" s="68" t="s">
        <v>787</v>
      </c>
      <c r="C284" s="62">
        <v>44189447</v>
      </c>
      <c r="D284" s="69" t="s">
        <v>238</v>
      </c>
      <c r="E284" s="69" t="s">
        <v>232</v>
      </c>
      <c r="F284" s="68" t="s">
        <v>788</v>
      </c>
    </row>
    <row r="285" spans="1:6">
      <c r="A285" s="62">
        <v>523</v>
      </c>
      <c r="B285" s="68" t="s">
        <v>789</v>
      </c>
      <c r="C285" s="62">
        <v>44292580</v>
      </c>
      <c r="D285" s="69" t="s">
        <v>238</v>
      </c>
      <c r="E285" s="69" t="s">
        <v>232</v>
      </c>
      <c r="F285" s="68" t="s">
        <v>790</v>
      </c>
    </row>
    <row r="286" spans="1:6">
      <c r="A286" s="62">
        <v>527</v>
      </c>
      <c r="B286" s="68" t="s">
        <v>791</v>
      </c>
      <c r="C286" s="62">
        <v>44478623</v>
      </c>
      <c r="D286" s="69" t="s">
        <v>238</v>
      </c>
      <c r="E286" s="69" t="s">
        <v>232</v>
      </c>
      <c r="F286" s="68" t="s">
        <v>792</v>
      </c>
    </row>
    <row r="287" spans="1:6">
      <c r="A287" s="62">
        <v>511</v>
      </c>
      <c r="B287" s="68" t="s">
        <v>793</v>
      </c>
      <c r="C287" s="62">
        <v>44683140</v>
      </c>
      <c r="D287" s="69" t="s">
        <v>231</v>
      </c>
      <c r="E287" s="69" t="s">
        <v>232</v>
      </c>
      <c r="F287" s="68" t="s">
        <v>794</v>
      </c>
    </row>
    <row r="288" spans="1:6">
      <c r="A288" s="62">
        <v>520</v>
      </c>
      <c r="B288" s="68" t="s">
        <v>795</v>
      </c>
      <c r="C288" s="62">
        <v>44705774</v>
      </c>
      <c r="D288" s="69" t="s">
        <v>238</v>
      </c>
      <c r="E288" s="69" t="s">
        <v>232</v>
      </c>
      <c r="F288" s="68" t="s">
        <v>796</v>
      </c>
    </row>
    <row r="289" spans="1:6">
      <c r="A289" s="62">
        <v>513</v>
      </c>
      <c r="B289" s="68" t="s">
        <v>797</v>
      </c>
      <c r="C289" s="62">
        <v>44728700</v>
      </c>
      <c r="D289" s="69" t="s">
        <v>238</v>
      </c>
      <c r="E289" s="69" t="s">
        <v>232</v>
      </c>
      <c r="F289" s="68" t="s">
        <v>798</v>
      </c>
    </row>
    <row r="290" spans="1:6">
      <c r="A290" s="62">
        <v>125</v>
      </c>
      <c r="B290" s="68" t="s">
        <v>799</v>
      </c>
      <c r="C290" s="62">
        <v>45246410</v>
      </c>
      <c r="D290" s="69" t="s">
        <v>231</v>
      </c>
      <c r="E290" s="69" t="s">
        <v>232</v>
      </c>
      <c r="F290" s="68" t="s">
        <v>800</v>
      </c>
    </row>
    <row r="291" spans="1:6">
      <c r="A291" s="62">
        <v>547</v>
      </c>
      <c r="B291" s="68" t="s">
        <v>801</v>
      </c>
      <c r="C291" s="62">
        <v>45331622</v>
      </c>
      <c r="D291" s="69" t="s">
        <v>238</v>
      </c>
      <c r="E291" s="69" t="s">
        <v>232</v>
      </c>
      <c r="F291" s="68" t="s">
        <v>802</v>
      </c>
    </row>
    <row r="292" spans="1:6">
      <c r="A292" s="62">
        <v>532</v>
      </c>
      <c r="B292" s="68" t="s">
        <v>803</v>
      </c>
      <c r="C292" s="62">
        <v>45745537</v>
      </c>
      <c r="D292" s="69" t="s">
        <v>238</v>
      </c>
      <c r="E292" s="69" t="s">
        <v>232</v>
      </c>
      <c r="F292" s="68" t="s">
        <v>804</v>
      </c>
    </row>
    <row r="293" spans="1:6">
      <c r="A293" s="62">
        <v>537</v>
      </c>
      <c r="B293" s="68" t="s">
        <v>805</v>
      </c>
      <c r="C293" s="62">
        <v>45756448</v>
      </c>
      <c r="D293" s="69" t="s">
        <v>238</v>
      </c>
      <c r="E293" s="69" t="s">
        <v>232</v>
      </c>
      <c r="F293" s="68" t="s">
        <v>806</v>
      </c>
    </row>
    <row r="294" spans="1:6">
      <c r="A294" s="62">
        <v>524</v>
      </c>
      <c r="B294" s="68" t="s">
        <v>807</v>
      </c>
      <c r="C294" s="62">
        <v>45854066</v>
      </c>
      <c r="D294" s="69" t="s">
        <v>238</v>
      </c>
      <c r="E294" s="69" t="s">
        <v>232</v>
      </c>
      <c r="F294" s="68" t="s">
        <v>808</v>
      </c>
    </row>
    <row r="295" spans="1:6">
      <c r="A295" s="62">
        <v>526</v>
      </c>
      <c r="B295" s="68" t="s">
        <v>809</v>
      </c>
      <c r="C295" s="62">
        <v>46026562</v>
      </c>
      <c r="D295" s="69" t="s">
        <v>238</v>
      </c>
      <c r="E295" s="69" t="s">
        <v>232</v>
      </c>
      <c r="F295" s="68" t="s">
        <v>810</v>
      </c>
    </row>
    <row r="296" spans="1:6">
      <c r="A296" s="62">
        <v>488</v>
      </c>
      <c r="B296" s="68" t="s">
        <v>811</v>
      </c>
      <c r="C296" s="62">
        <v>46518205</v>
      </c>
      <c r="D296" s="69" t="s">
        <v>238</v>
      </c>
      <c r="E296" s="69" t="s">
        <v>232</v>
      </c>
      <c r="F296" s="68" t="s">
        <v>812</v>
      </c>
    </row>
    <row r="297" spans="1:6">
      <c r="A297" s="62">
        <v>522</v>
      </c>
      <c r="B297" s="68" t="s">
        <v>813</v>
      </c>
      <c r="C297" s="62">
        <v>47593544</v>
      </c>
      <c r="D297" s="69" t="s">
        <v>238</v>
      </c>
      <c r="E297" s="69" t="s">
        <v>232</v>
      </c>
      <c r="F297" s="68" t="s">
        <v>814</v>
      </c>
    </row>
    <row r="298" spans="1:6">
      <c r="A298" s="62">
        <v>530</v>
      </c>
      <c r="B298" s="68" t="s">
        <v>815</v>
      </c>
      <c r="C298" s="62">
        <v>47873449</v>
      </c>
      <c r="D298" s="69" t="s">
        <v>238</v>
      </c>
      <c r="E298" s="69" t="s">
        <v>232</v>
      </c>
      <c r="F298" s="68" t="s">
        <v>816</v>
      </c>
    </row>
    <row r="299" spans="1:6">
      <c r="A299" s="62">
        <v>553</v>
      </c>
      <c r="B299" s="68" t="s">
        <v>817</v>
      </c>
      <c r="C299" s="62">
        <v>48707451</v>
      </c>
      <c r="D299" s="69" t="s">
        <v>238</v>
      </c>
      <c r="E299" s="69" t="s">
        <v>232</v>
      </c>
      <c r="F299" s="68" t="s">
        <v>818</v>
      </c>
    </row>
    <row r="300" spans="1:6">
      <c r="A300" s="62">
        <v>65</v>
      </c>
      <c r="B300" s="68" t="s">
        <v>819</v>
      </c>
      <c r="C300" s="62">
        <v>48795256</v>
      </c>
      <c r="D300" s="69" t="s">
        <v>231</v>
      </c>
      <c r="E300" s="69" t="s">
        <v>232</v>
      </c>
      <c r="F300" s="68" t="s">
        <v>820</v>
      </c>
    </row>
    <row r="301" spans="1:6">
      <c r="A301" s="62">
        <v>559</v>
      </c>
      <c r="B301" s="68" t="s">
        <v>821</v>
      </c>
      <c r="C301" s="62">
        <v>49288113</v>
      </c>
      <c r="D301" s="69" t="s">
        <v>238</v>
      </c>
      <c r="E301" s="69" t="s">
        <v>232</v>
      </c>
      <c r="F301" s="68" t="s">
        <v>822</v>
      </c>
    </row>
    <row r="302" spans="1:6">
      <c r="A302" s="62">
        <v>579</v>
      </c>
      <c r="B302" s="68" t="s">
        <v>823</v>
      </c>
      <c r="C302" s="62">
        <v>49555647</v>
      </c>
      <c r="D302" s="69" t="s">
        <v>238</v>
      </c>
      <c r="E302" s="69" t="s">
        <v>365</v>
      </c>
      <c r="F302" s="68" t="s">
        <v>824</v>
      </c>
    </row>
    <row r="303" spans="1:6">
      <c r="A303" s="62">
        <v>568</v>
      </c>
      <c r="B303" s="68" t="s">
        <v>825</v>
      </c>
      <c r="C303" s="62">
        <v>49933388</v>
      </c>
      <c r="D303" s="69" t="s">
        <v>238</v>
      </c>
      <c r="E303" s="69" t="s">
        <v>232</v>
      </c>
      <c r="F303" s="68" t="s">
        <v>826</v>
      </c>
    </row>
    <row r="304" spans="1:6">
      <c r="A304" s="62">
        <v>145</v>
      </c>
      <c r="B304" s="68" t="s">
        <v>827</v>
      </c>
      <c r="C304" s="62">
        <v>50579044</v>
      </c>
      <c r="D304" s="69" t="s">
        <v>238</v>
      </c>
      <c r="E304" s="69" t="s">
        <v>365</v>
      </c>
      <c r="F304" s="68" t="s">
        <v>828</v>
      </c>
    </row>
    <row r="305" spans="1:6">
      <c r="A305" s="62">
        <v>250</v>
      </c>
      <c r="B305" s="68" t="s">
        <v>829</v>
      </c>
      <c r="C305" s="62">
        <v>50585090</v>
      </c>
      <c r="D305" s="69" t="s">
        <v>238</v>
      </c>
      <c r="E305" s="69" t="s">
        <v>232</v>
      </c>
      <c r="F305" s="68" t="s">
        <v>830</v>
      </c>
    </row>
    <row r="306" spans="1:6">
      <c r="A306" s="62">
        <v>572</v>
      </c>
      <c r="B306" s="68" t="s">
        <v>831</v>
      </c>
      <c r="C306" s="62">
        <v>51414521</v>
      </c>
      <c r="D306" s="69" t="s">
        <v>238</v>
      </c>
      <c r="E306" s="69" t="s">
        <v>232</v>
      </c>
      <c r="F306" s="68" t="s">
        <v>832</v>
      </c>
    </row>
    <row r="307" spans="1:6">
      <c r="A307" s="62">
        <v>253</v>
      </c>
      <c r="B307" s="68" t="s">
        <v>833</v>
      </c>
      <c r="C307" s="62">
        <v>52937216</v>
      </c>
      <c r="D307" s="69" t="s">
        <v>238</v>
      </c>
      <c r="E307" s="69" t="s">
        <v>365</v>
      </c>
      <c r="F307" s="68" t="s">
        <v>834</v>
      </c>
    </row>
    <row r="308" spans="1:6">
      <c r="A308" s="62">
        <v>269</v>
      </c>
      <c r="B308" s="68" t="s">
        <v>835</v>
      </c>
      <c r="C308" s="62">
        <v>53518684</v>
      </c>
      <c r="D308" s="69" t="s">
        <v>238</v>
      </c>
      <c r="E308" s="69" t="s">
        <v>232</v>
      </c>
      <c r="F308" s="68" t="s">
        <v>836</v>
      </c>
    </row>
    <row r="309" spans="1:6">
      <c r="A309" s="62">
        <v>213</v>
      </c>
      <c r="B309" s="68" t="s">
        <v>837</v>
      </c>
      <c r="C309" s="62">
        <v>54403563</v>
      </c>
      <c r="D309" s="69" t="s">
        <v>231</v>
      </c>
      <c r="E309" s="69" t="s">
        <v>232</v>
      </c>
      <c r="F309" s="68" t="s">
        <v>838</v>
      </c>
    </row>
    <row r="310" spans="1:6">
      <c r="A310" s="62">
        <v>0</v>
      </c>
      <c r="B310" s="68" t="s">
        <v>839</v>
      </c>
      <c r="C310" s="62">
        <v>54641030</v>
      </c>
      <c r="D310" s="69" t="s">
        <v>238</v>
      </c>
      <c r="E310" s="69" t="s">
        <v>232</v>
      </c>
      <c r="F310" s="68" t="s">
        <v>839</v>
      </c>
    </row>
    <row r="311" spans="1:6">
      <c r="A311" s="62">
        <v>139</v>
      </c>
      <c r="B311" s="68" t="s">
        <v>840</v>
      </c>
      <c r="C311" s="62">
        <v>55230916</v>
      </c>
      <c r="D311" s="69" t="s">
        <v>238</v>
      </c>
      <c r="E311" s="69" t="s">
        <v>232</v>
      </c>
      <c r="F311" s="68" t="s">
        <v>841</v>
      </c>
    </row>
    <row r="312" spans="1:6">
      <c r="A312" s="62">
        <v>18</v>
      </c>
      <c r="B312" s="68" t="s">
        <v>842</v>
      </c>
      <c r="C312" s="62">
        <v>57839805</v>
      </c>
      <c r="D312" s="69" t="s">
        <v>231</v>
      </c>
      <c r="E312" s="69" t="s">
        <v>232</v>
      </c>
      <c r="F312" s="68" t="s">
        <v>843</v>
      </c>
    </row>
    <row r="313" spans="1:6">
      <c r="A313" s="62">
        <v>422</v>
      </c>
      <c r="B313" s="68" t="s">
        <v>844</v>
      </c>
      <c r="C313" s="62">
        <v>58160789</v>
      </c>
      <c r="D313" s="69" t="s">
        <v>231</v>
      </c>
      <c r="E313" s="69" t="s">
        <v>232</v>
      </c>
      <c r="F313" s="68" t="s">
        <v>845</v>
      </c>
    </row>
    <row r="314" spans="1:6">
      <c r="A314" s="62">
        <v>630</v>
      </c>
      <c r="B314" s="68" t="s">
        <v>846</v>
      </c>
      <c r="C314" s="62">
        <v>58497702</v>
      </c>
      <c r="D314" s="69" t="s">
        <v>238</v>
      </c>
      <c r="E314" s="69" t="s">
        <v>232</v>
      </c>
      <c r="F314" s="68" t="s">
        <v>847</v>
      </c>
    </row>
    <row r="315" spans="1:6">
      <c r="A315" s="62">
        <v>224</v>
      </c>
      <c r="B315" s="68" t="s">
        <v>848</v>
      </c>
      <c r="C315" s="62">
        <v>58616418</v>
      </c>
      <c r="D315" s="69" t="s">
        <v>231</v>
      </c>
      <c r="E315" s="69" t="s">
        <v>232</v>
      </c>
      <c r="F315" s="68" t="s">
        <v>849</v>
      </c>
    </row>
    <row r="316" spans="1:6">
      <c r="A316" s="62">
        <v>393</v>
      </c>
      <c r="B316" s="68" t="s">
        <v>850</v>
      </c>
      <c r="C316" s="62">
        <v>59109165</v>
      </c>
      <c r="D316" s="69" t="s">
        <v>238</v>
      </c>
      <c r="E316" s="69" t="s">
        <v>232</v>
      </c>
      <c r="F316" s="68" t="s">
        <v>851</v>
      </c>
    </row>
    <row r="317" spans="1:6">
      <c r="A317" s="62">
        <v>600</v>
      </c>
      <c r="B317" s="68" t="s">
        <v>852</v>
      </c>
      <c r="C317" s="62">
        <v>59118133</v>
      </c>
      <c r="D317" s="69" t="s">
        <v>231</v>
      </c>
      <c r="E317" s="69" t="s">
        <v>232</v>
      </c>
      <c r="F317" s="68" t="s">
        <v>853</v>
      </c>
    </row>
    <row r="318" spans="1:6">
      <c r="A318" s="62">
        <v>390</v>
      </c>
      <c r="B318" s="68" t="s">
        <v>854</v>
      </c>
      <c r="C318" s="62">
        <v>59274605</v>
      </c>
      <c r="D318" s="69" t="s">
        <v>238</v>
      </c>
      <c r="E318" s="69" t="s">
        <v>232</v>
      </c>
      <c r="F318" s="68" t="s">
        <v>855</v>
      </c>
    </row>
    <row r="319" spans="1:6">
      <c r="A319" s="62">
        <v>623</v>
      </c>
      <c r="B319" s="68" t="s">
        <v>856</v>
      </c>
      <c r="C319" s="62">
        <v>59285411</v>
      </c>
      <c r="D319" s="69" t="s">
        <v>231</v>
      </c>
      <c r="E319" s="69" t="s">
        <v>232</v>
      </c>
      <c r="F319" s="68" t="s">
        <v>857</v>
      </c>
    </row>
    <row r="320" spans="1:6">
      <c r="A320" s="62">
        <v>655</v>
      </c>
      <c r="B320" s="68" t="s">
        <v>858</v>
      </c>
      <c r="C320" s="62">
        <v>59588111</v>
      </c>
      <c r="D320" s="69" t="s">
        <v>231</v>
      </c>
      <c r="E320" s="69" t="s">
        <v>232</v>
      </c>
      <c r="F320" s="68" t="s">
        <v>859</v>
      </c>
    </row>
    <row r="321" spans="1:6">
      <c r="A321" s="62">
        <v>479</v>
      </c>
      <c r="B321" s="68" t="s">
        <v>860</v>
      </c>
      <c r="C321" s="62">
        <v>60394079</v>
      </c>
      <c r="D321" s="69" t="s">
        <v>238</v>
      </c>
      <c r="E321" s="69" t="s">
        <v>232</v>
      </c>
      <c r="F321" s="68" t="s">
        <v>861</v>
      </c>
    </row>
    <row r="322" spans="1:6">
      <c r="A322" s="62">
        <v>456</v>
      </c>
      <c r="B322" s="68" t="s">
        <v>862</v>
      </c>
      <c r="C322" s="62">
        <v>60498557</v>
      </c>
      <c r="D322" s="69" t="s">
        <v>231</v>
      </c>
      <c r="E322" s="69" t="s">
        <v>232</v>
      </c>
      <c r="F322" s="68" t="s">
        <v>863</v>
      </c>
    </row>
    <row r="323" spans="1:6">
      <c r="A323" s="62">
        <v>464</v>
      </c>
      <c r="B323" s="68" t="s">
        <v>864</v>
      </c>
      <c r="C323" s="62">
        <v>60518222</v>
      </c>
      <c r="D323" s="69" t="s">
        <v>238</v>
      </c>
      <c r="E323" s="69" t="s">
        <v>232</v>
      </c>
      <c r="F323" s="68" t="s">
        <v>865</v>
      </c>
    </row>
    <row r="324" spans="1:6">
      <c r="A324" s="62">
        <v>341</v>
      </c>
      <c r="B324" s="68" t="s">
        <v>866</v>
      </c>
      <c r="C324" s="62">
        <v>60701190</v>
      </c>
      <c r="D324" s="69" t="s">
        <v>231</v>
      </c>
      <c r="E324" s="69" t="s">
        <v>232</v>
      </c>
      <c r="F324" s="68" t="s">
        <v>866</v>
      </c>
    </row>
    <row r="325" spans="1:6">
      <c r="A325" s="62">
        <v>237</v>
      </c>
      <c r="B325" s="68" t="s">
        <v>867</v>
      </c>
      <c r="C325" s="62">
        <v>60746948</v>
      </c>
      <c r="D325" s="69" t="s">
        <v>231</v>
      </c>
      <c r="E325" s="69" t="s">
        <v>232</v>
      </c>
      <c r="F325" s="68" t="s">
        <v>868</v>
      </c>
    </row>
    <row r="326" spans="1:6">
      <c r="A326" s="62">
        <v>381</v>
      </c>
      <c r="B326" s="68" t="s">
        <v>869</v>
      </c>
      <c r="C326" s="62">
        <v>60814191</v>
      </c>
      <c r="D326" s="69" t="s">
        <v>238</v>
      </c>
      <c r="E326" s="69" t="s">
        <v>232</v>
      </c>
      <c r="F326" s="68" t="s">
        <v>870</v>
      </c>
    </row>
    <row r="327" spans="1:6">
      <c r="A327" s="62">
        <v>613</v>
      </c>
      <c r="B327" s="68" t="s">
        <v>871</v>
      </c>
      <c r="C327" s="62">
        <v>60850229</v>
      </c>
      <c r="D327" s="69" t="s">
        <v>231</v>
      </c>
      <c r="E327" s="69" t="s">
        <v>232</v>
      </c>
      <c r="F327" s="68" t="s">
        <v>872</v>
      </c>
    </row>
    <row r="328" spans="1:6">
      <c r="A328" s="62">
        <v>637</v>
      </c>
      <c r="B328" s="68" t="s">
        <v>873</v>
      </c>
      <c r="C328" s="62">
        <v>60889128</v>
      </c>
      <c r="D328" s="69" t="s">
        <v>231</v>
      </c>
      <c r="E328" s="69" t="s">
        <v>232</v>
      </c>
      <c r="F328" s="68" t="s">
        <v>874</v>
      </c>
    </row>
    <row r="329" spans="1:6">
      <c r="A329" s="62">
        <v>0</v>
      </c>
      <c r="B329" s="68" t="s">
        <v>875</v>
      </c>
      <c r="C329" s="62">
        <v>60934221</v>
      </c>
      <c r="D329" s="69" t="s">
        <v>238</v>
      </c>
      <c r="E329" s="69" t="s">
        <v>232</v>
      </c>
      <c r="F329" s="68" t="s">
        <v>876</v>
      </c>
    </row>
    <row r="330" spans="1:6">
      <c r="A330" s="62">
        <v>653</v>
      </c>
      <c r="B330" s="68" t="s">
        <v>877</v>
      </c>
      <c r="C330" s="62">
        <v>61024352</v>
      </c>
      <c r="D330" s="69" t="s">
        <v>238</v>
      </c>
      <c r="E330" s="69" t="s">
        <v>232</v>
      </c>
      <c r="F330" s="68" t="s">
        <v>878</v>
      </c>
    </row>
    <row r="331" spans="1:6">
      <c r="A331" s="62">
        <v>69</v>
      </c>
      <c r="B331" s="68" t="s">
        <v>879</v>
      </c>
      <c r="C331" s="62">
        <v>61033106</v>
      </c>
      <c r="D331" s="69" t="s">
        <v>231</v>
      </c>
      <c r="E331" s="69" t="s">
        <v>232</v>
      </c>
      <c r="F331" s="68" t="s">
        <v>880</v>
      </c>
    </row>
    <row r="332" spans="1:6">
      <c r="A332" s="62">
        <v>370</v>
      </c>
      <c r="B332" s="68" t="s">
        <v>881</v>
      </c>
      <c r="C332" s="62">
        <v>61088183</v>
      </c>
      <c r="D332" s="69" t="s">
        <v>238</v>
      </c>
      <c r="E332" s="69" t="s">
        <v>232</v>
      </c>
      <c r="F332" s="68" t="s">
        <v>882</v>
      </c>
    </row>
    <row r="333" spans="1:6">
      <c r="A333" s="62">
        <v>249</v>
      </c>
      <c r="B333" s="68" t="s">
        <v>883</v>
      </c>
      <c r="C333" s="62">
        <v>61182408</v>
      </c>
      <c r="D333" s="69" t="s">
        <v>231</v>
      </c>
      <c r="E333" s="69" t="s">
        <v>232</v>
      </c>
      <c r="F333" s="68" t="s">
        <v>884</v>
      </c>
    </row>
    <row r="334" spans="1:6">
      <c r="A334" s="62">
        <v>318</v>
      </c>
      <c r="B334" s="68" t="s">
        <v>885</v>
      </c>
      <c r="C334" s="62">
        <v>61186680</v>
      </c>
      <c r="D334" s="69" t="s">
        <v>231</v>
      </c>
      <c r="E334" s="69" t="s">
        <v>232</v>
      </c>
      <c r="F334" s="68" t="s">
        <v>886</v>
      </c>
    </row>
    <row r="335" spans="1:6">
      <c r="A335" s="62">
        <v>626</v>
      </c>
      <c r="B335" s="68" t="s">
        <v>887</v>
      </c>
      <c r="C335" s="62">
        <v>61348538</v>
      </c>
      <c r="D335" s="69" t="s">
        <v>238</v>
      </c>
      <c r="E335" s="69" t="s">
        <v>232</v>
      </c>
      <c r="F335" s="68" t="s">
        <v>888</v>
      </c>
    </row>
    <row r="336" spans="1:6">
      <c r="A336" s="62">
        <v>508</v>
      </c>
      <c r="B336" s="68" t="s">
        <v>889</v>
      </c>
      <c r="C336" s="62">
        <v>61384004</v>
      </c>
      <c r="D336" s="69" t="s">
        <v>238</v>
      </c>
      <c r="E336" s="69" t="s">
        <v>232</v>
      </c>
      <c r="F336" s="68" t="s">
        <v>890</v>
      </c>
    </row>
    <row r="337" spans="1:6">
      <c r="A337" s="62">
        <v>270</v>
      </c>
      <c r="B337" s="68" t="s">
        <v>891</v>
      </c>
      <c r="C337" s="62">
        <v>61444949</v>
      </c>
      <c r="D337" s="69" t="s">
        <v>238</v>
      </c>
      <c r="E337" s="69" t="s">
        <v>365</v>
      </c>
      <c r="F337" s="68" t="s">
        <v>892</v>
      </c>
    </row>
    <row r="338" spans="1:6">
      <c r="A338" s="62">
        <v>366</v>
      </c>
      <c r="B338" s="68" t="s">
        <v>893</v>
      </c>
      <c r="C338" s="62">
        <v>61533584</v>
      </c>
      <c r="D338" s="69" t="s">
        <v>231</v>
      </c>
      <c r="E338" s="69" t="s">
        <v>232</v>
      </c>
      <c r="F338" s="68" t="s">
        <v>894</v>
      </c>
    </row>
    <row r="339" spans="1:6">
      <c r="A339" s="62">
        <v>113</v>
      </c>
      <c r="B339" s="68" t="s">
        <v>895</v>
      </c>
      <c r="C339" s="62">
        <v>61723847</v>
      </c>
      <c r="D339" s="69" t="s">
        <v>238</v>
      </c>
      <c r="E339" s="69" t="s">
        <v>232</v>
      </c>
      <c r="F339" s="68" t="s">
        <v>896</v>
      </c>
    </row>
    <row r="340" spans="1:6">
      <c r="A340" s="62">
        <v>131</v>
      </c>
      <c r="B340" s="68" t="s">
        <v>897</v>
      </c>
      <c r="C340" s="62">
        <v>61747085</v>
      </c>
      <c r="D340" s="69" t="s">
        <v>238</v>
      </c>
      <c r="E340" s="69" t="s">
        <v>232</v>
      </c>
      <c r="F340" s="68" t="s">
        <v>898</v>
      </c>
    </row>
    <row r="341" spans="1:6">
      <c r="A341" s="62">
        <v>11</v>
      </c>
      <c r="B341" s="68" t="s">
        <v>899</v>
      </c>
      <c r="C341" s="62">
        <v>61809182</v>
      </c>
      <c r="D341" s="69" t="s">
        <v>238</v>
      </c>
      <c r="E341" s="69" t="s">
        <v>232</v>
      </c>
      <c r="F341" s="68" t="s">
        <v>900</v>
      </c>
    </row>
    <row r="342" spans="1:6">
      <c r="A342" s="62">
        <v>611</v>
      </c>
      <c r="B342" s="68" t="s">
        <v>901</v>
      </c>
      <c r="C342" s="62">
        <v>61820817</v>
      </c>
      <c r="D342" s="69" t="s">
        <v>231</v>
      </c>
      <c r="E342" s="69" t="s">
        <v>232</v>
      </c>
      <c r="F342" s="68" t="s">
        <v>902</v>
      </c>
    </row>
    <row r="343" spans="1:6">
      <c r="A343" s="62">
        <v>755</v>
      </c>
      <c r="B343" s="68" t="s">
        <v>903</v>
      </c>
      <c r="C343" s="62">
        <v>62073200</v>
      </c>
      <c r="D343" s="69" t="s">
        <v>231</v>
      </c>
      <c r="E343" s="69" t="s">
        <v>232</v>
      </c>
      <c r="F343" s="68" t="s">
        <v>904</v>
      </c>
    </row>
    <row r="344" spans="1:6">
      <c r="A344" s="62">
        <v>89</v>
      </c>
      <c r="B344" s="68" t="s">
        <v>905</v>
      </c>
      <c r="C344" s="62">
        <v>62109566</v>
      </c>
      <c r="D344" s="69" t="s">
        <v>231</v>
      </c>
      <c r="E344" s="69" t="s">
        <v>232</v>
      </c>
      <c r="F344" s="68" t="s">
        <v>906</v>
      </c>
    </row>
    <row r="345" spans="1:6">
      <c r="A345" s="62">
        <v>643</v>
      </c>
      <c r="B345" s="68" t="s">
        <v>907</v>
      </c>
      <c r="C345" s="62">
        <v>62144175</v>
      </c>
      <c r="D345" s="69" t="s">
        <v>231</v>
      </c>
      <c r="E345" s="69" t="s">
        <v>232</v>
      </c>
      <c r="F345" s="68" t="s">
        <v>908</v>
      </c>
    </row>
    <row r="346" spans="1:6">
      <c r="A346" s="62">
        <v>140</v>
      </c>
      <c r="B346" s="68" t="s">
        <v>909</v>
      </c>
      <c r="C346" s="62">
        <v>62169875</v>
      </c>
      <c r="D346" s="69" t="s">
        <v>238</v>
      </c>
      <c r="E346" s="69" t="s">
        <v>232</v>
      </c>
      <c r="F346" s="68" t="s">
        <v>909</v>
      </c>
    </row>
    <row r="347" spans="1:6">
      <c r="A347" s="62">
        <v>707</v>
      </c>
      <c r="B347" s="68" t="s">
        <v>910</v>
      </c>
      <c r="C347" s="62">
        <v>62232889</v>
      </c>
      <c r="D347" s="69" t="s">
        <v>231</v>
      </c>
      <c r="E347" s="69" t="s">
        <v>232</v>
      </c>
      <c r="F347" s="68" t="s">
        <v>911</v>
      </c>
    </row>
    <row r="348" spans="1:6">
      <c r="A348" s="62">
        <v>288</v>
      </c>
      <c r="B348" s="68" t="s">
        <v>912</v>
      </c>
      <c r="C348" s="62">
        <v>62237649</v>
      </c>
      <c r="D348" s="69" t="s">
        <v>238</v>
      </c>
      <c r="E348" s="69" t="s">
        <v>365</v>
      </c>
      <c r="F348" s="68" t="s">
        <v>913</v>
      </c>
    </row>
    <row r="349" spans="1:6">
      <c r="A349" s="62">
        <v>363</v>
      </c>
      <c r="B349" s="68" t="s">
        <v>914</v>
      </c>
      <c r="C349" s="62">
        <v>62285390</v>
      </c>
      <c r="D349" s="69" t="s">
        <v>238</v>
      </c>
      <c r="E349" s="69" t="s">
        <v>232</v>
      </c>
      <c r="F349" s="68" t="s">
        <v>915</v>
      </c>
    </row>
    <row r="350" spans="1:6">
      <c r="A350" s="62">
        <v>101</v>
      </c>
      <c r="B350" s="68" t="s">
        <v>916</v>
      </c>
      <c r="C350" s="62">
        <v>62287735</v>
      </c>
      <c r="D350" s="69" t="s">
        <v>238</v>
      </c>
      <c r="E350" s="69" t="s">
        <v>232</v>
      </c>
      <c r="F350" s="68" t="s">
        <v>917</v>
      </c>
    </row>
    <row r="351" spans="1:6">
      <c r="A351" s="62">
        <v>487</v>
      </c>
      <c r="B351" s="68" t="s">
        <v>918</v>
      </c>
      <c r="C351" s="62">
        <v>62331228</v>
      </c>
      <c r="D351" s="69" t="s">
        <v>231</v>
      </c>
      <c r="E351" s="69" t="s">
        <v>232</v>
      </c>
      <c r="F351" s="68" t="s">
        <v>919</v>
      </c>
    </row>
    <row r="352" spans="1:6">
      <c r="A352" s="62">
        <v>233</v>
      </c>
      <c r="B352" s="68" t="s">
        <v>920</v>
      </c>
      <c r="C352" s="62">
        <v>62421979</v>
      </c>
      <c r="D352" s="69" t="s">
        <v>238</v>
      </c>
      <c r="E352" s="69" t="s">
        <v>232</v>
      </c>
      <c r="F352" s="68" t="s">
        <v>921</v>
      </c>
    </row>
    <row r="353" spans="1:6">
      <c r="A353" s="62">
        <v>177</v>
      </c>
      <c r="B353" s="68" t="s">
        <v>922</v>
      </c>
      <c r="C353" s="62">
        <v>65913436</v>
      </c>
      <c r="D353" s="69" t="s">
        <v>238</v>
      </c>
      <c r="E353" s="69" t="s">
        <v>232</v>
      </c>
      <c r="F353" s="68" t="s">
        <v>923</v>
      </c>
    </row>
    <row r="354" spans="1:6">
      <c r="A354" s="62">
        <v>438</v>
      </c>
      <c r="B354" s="68" t="s">
        <v>924</v>
      </c>
      <c r="C354" s="62">
        <v>67030395</v>
      </c>
      <c r="D354" s="69" t="s">
        <v>238</v>
      </c>
      <c r="E354" s="69" t="s">
        <v>232</v>
      </c>
      <c r="F354" s="68" t="s">
        <v>925</v>
      </c>
    </row>
    <row r="355" spans="1:6">
      <c r="A355" s="62">
        <v>365</v>
      </c>
      <c r="B355" s="68" t="s">
        <v>926</v>
      </c>
      <c r="C355" s="62">
        <v>68757681</v>
      </c>
      <c r="D355" s="69" t="s">
        <v>238</v>
      </c>
      <c r="E355" s="69" t="s">
        <v>232</v>
      </c>
      <c r="F355" s="68" t="s">
        <v>927</v>
      </c>
    </row>
    <row r="356" spans="1:6">
      <c r="A356" s="62">
        <v>633</v>
      </c>
      <c r="B356" s="68" t="s">
        <v>928</v>
      </c>
      <c r="C356" s="62">
        <v>68900810</v>
      </c>
      <c r="D356" s="69" t="s">
        <v>231</v>
      </c>
      <c r="E356" s="69" t="s">
        <v>232</v>
      </c>
      <c r="F356" s="68" t="s">
        <v>929</v>
      </c>
    </row>
    <row r="357" spans="1:6">
      <c r="A357" s="62">
        <v>218</v>
      </c>
      <c r="B357" s="68" t="s">
        <v>930</v>
      </c>
      <c r="C357" s="62">
        <v>71027866</v>
      </c>
      <c r="D357" s="69" t="s">
        <v>231</v>
      </c>
      <c r="E357" s="69" t="s">
        <v>232</v>
      </c>
      <c r="F357" s="68" t="s">
        <v>931</v>
      </c>
    </row>
    <row r="358" spans="1:6">
      <c r="A358" s="62">
        <v>293</v>
      </c>
      <c r="B358" s="68" t="s">
        <v>932</v>
      </c>
      <c r="C358" s="62">
        <v>71590442</v>
      </c>
      <c r="D358" s="69" t="s">
        <v>238</v>
      </c>
      <c r="E358" s="69" t="s">
        <v>365</v>
      </c>
      <c r="F358" s="68" t="s">
        <v>933</v>
      </c>
    </row>
    <row r="359" spans="1:6">
      <c r="A359" s="62">
        <v>285</v>
      </c>
      <c r="B359" s="68" t="s">
        <v>934</v>
      </c>
      <c r="C359" s="62">
        <v>71677850</v>
      </c>
      <c r="D359" s="69" t="s">
        <v>238</v>
      </c>
      <c r="E359" s="69" t="s">
        <v>232</v>
      </c>
      <c r="F359" s="68" t="s">
        <v>935</v>
      </c>
    </row>
    <row r="360" spans="1:6">
      <c r="A360" s="62">
        <v>514</v>
      </c>
      <c r="B360" s="68" t="s">
        <v>936</v>
      </c>
      <c r="C360" s="62">
        <v>73302408</v>
      </c>
      <c r="D360" s="69" t="s">
        <v>238</v>
      </c>
      <c r="E360" s="69" t="s">
        <v>365</v>
      </c>
      <c r="F360" s="68" t="s">
        <v>937</v>
      </c>
    </row>
    <row r="361" spans="1:6">
      <c r="A361" s="62">
        <v>80</v>
      </c>
      <c r="B361" s="68" t="s">
        <v>938</v>
      </c>
      <c r="C361" s="62">
        <v>73622748</v>
      </c>
      <c r="D361" s="69" t="s">
        <v>238</v>
      </c>
      <c r="E361" s="69" t="s">
        <v>232</v>
      </c>
      <c r="F361" s="68" t="s">
        <v>939</v>
      </c>
    </row>
    <row r="362" spans="1:6">
      <c r="A362" s="62">
        <v>565</v>
      </c>
      <c r="B362" s="68" t="s">
        <v>940</v>
      </c>
      <c r="C362" s="62">
        <v>74014747</v>
      </c>
      <c r="D362" s="69" t="s">
        <v>238</v>
      </c>
      <c r="E362" s="69" t="s">
        <v>232</v>
      </c>
      <c r="F362" s="68" t="s">
        <v>941</v>
      </c>
    </row>
    <row r="363" spans="1:6">
      <c r="A363" s="62">
        <v>753</v>
      </c>
      <c r="B363" s="68" t="s">
        <v>942</v>
      </c>
      <c r="C363" s="62">
        <v>74828799</v>
      </c>
      <c r="D363" s="69" t="s">
        <v>231</v>
      </c>
      <c r="E363" s="69" t="s">
        <v>232</v>
      </c>
      <c r="F363" s="68" t="s">
        <v>943</v>
      </c>
    </row>
    <row r="364" spans="1:6">
      <c r="A364" s="62">
        <v>222</v>
      </c>
      <c r="B364" s="68" t="s">
        <v>944</v>
      </c>
      <c r="C364" s="62">
        <v>75647891</v>
      </c>
      <c r="D364" s="69" t="s">
        <v>231</v>
      </c>
      <c r="E364" s="69" t="s">
        <v>232</v>
      </c>
      <c r="F364" s="68" t="s">
        <v>945</v>
      </c>
    </row>
    <row r="365" spans="1:6">
      <c r="A365" s="62">
        <v>281</v>
      </c>
      <c r="B365" s="68" t="s">
        <v>946</v>
      </c>
      <c r="C365" s="62">
        <v>76461557</v>
      </c>
      <c r="D365" s="69" t="s">
        <v>231</v>
      </c>
      <c r="E365" s="69" t="s">
        <v>232</v>
      </c>
      <c r="F365" s="68" t="s">
        <v>947</v>
      </c>
    </row>
    <row r="366" spans="1:6">
      <c r="A366" s="62">
        <v>754</v>
      </c>
      <c r="B366" s="68" t="s">
        <v>948</v>
      </c>
      <c r="C366" s="62">
        <v>76543115</v>
      </c>
      <c r="D366" s="69" t="s">
        <v>238</v>
      </c>
      <c r="E366" s="69" t="s">
        <v>232</v>
      </c>
      <c r="F366" s="68" t="s">
        <v>949</v>
      </c>
    </row>
    <row r="367" spans="1:6">
      <c r="A367" s="62">
        <v>311</v>
      </c>
      <c r="B367" s="68" t="s">
        <v>950</v>
      </c>
      <c r="C367" s="62">
        <v>76641497</v>
      </c>
      <c r="D367" s="69" t="s">
        <v>238</v>
      </c>
      <c r="E367" s="69" t="s">
        <v>365</v>
      </c>
      <c r="F367" s="68" t="s">
        <v>951</v>
      </c>
    </row>
    <row r="368" spans="1:6">
      <c r="A368" s="62">
        <v>98</v>
      </c>
      <c r="B368" s="68" t="s">
        <v>952</v>
      </c>
      <c r="C368" s="62">
        <v>78157146</v>
      </c>
      <c r="D368" s="69" t="s">
        <v>231</v>
      </c>
      <c r="E368" s="69" t="s">
        <v>232</v>
      </c>
      <c r="F368" s="68" t="s">
        <v>953</v>
      </c>
    </row>
    <row r="369" spans="1:6">
      <c r="A369" s="62">
        <v>610</v>
      </c>
      <c r="B369" s="68" t="s">
        <v>954</v>
      </c>
      <c r="C369" s="62">
        <v>78626983</v>
      </c>
      <c r="D369" s="69" t="s">
        <v>231</v>
      </c>
      <c r="E369" s="69" t="s">
        <v>232</v>
      </c>
      <c r="F369" s="68" t="s">
        <v>955</v>
      </c>
    </row>
    <row r="370" spans="1:6">
      <c r="A370" s="62">
        <v>712</v>
      </c>
      <c r="B370" s="68" t="s">
        <v>956</v>
      </c>
      <c r="C370" s="62">
        <v>78632767</v>
      </c>
      <c r="D370" s="69" t="s">
        <v>238</v>
      </c>
      <c r="E370" s="69" t="s">
        <v>232</v>
      </c>
      <c r="F370" s="68" t="s">
        <v>957</v>
      </c>
    </row>
    <row r="371" spans="1:6">
      <c r="A371" s="62">
        <v>720</v>
      </c>
      <c r="B371" s="68" t="s">
        <v>958</v>
      </c>
      <c r="C371" s="62">
        <v>80271455</v>
      </c>
      <c r="D371" s="69" t="s">
        <v>238</v>
      </c>
      <c r="E371" s="69" t="s">
        <v>232</v>
      </c>
      <c r="F371" s="68" t="s">
        <v>959</v>
      </c>
    </row>
    <row r="372" spans="1:6">
      <c r="A372" s="62">
        <v>10</v>
      </c>
      <c r="B372" s="68" t="s">
        <v>960</v>
      </c>
      <c r="C372" s="62">
        <v>81723108</v>
      </c>
      <c r="D372" s="69" t="s">
        <v>231</v>
      </c>
      <c r="E372" s="69" t="s">
        <v>232</v>
      </c>
      <c r="F372" s="68" t="s">
        <v>961</v>
      </c>
    </row>
    <row r="373" spans="1:6">
      <c r="A373" s="62">
        <v>440</v>
      </c>
      <c r="B373" s="68" t="s">
        <v>962</v>
      </c>
      <c r="C373" s="62">
        <v>82096447</v>
      </c>
      <c r="D373" s="69" t="s">
        <v>238</v>
      </c>
      <c r="E373" s="69" t="s">
        <v>232</v>
      </c>
      <c r="F373" s="68" t="s">
        <v>963</v>
      </c>
    </row>
    <row r="374" spans="1:6">
      <c r="A374" s="62">
        <v>442</v>
      </c>
      <c r="B374" s="68" t="s">
        <v>964</v>
      </c>
      <c r="C374" s="62">
        <v>87963450</v>
      </c>
      <c r="D374" s="69" t="s">
        <v>238</v>
      </c>
      <c r="E374" s="69" t="s">
        <v>232</v>
      </c>
      <c r="F374" s="68" t="s">
        <v>965</v>
      </c>
    </row>
    <row r="375" spans="1:6">
      <c r="A375" s="62">
        <v>283</v>
      </c>
      <c r="B375" s="68" t="s">
        <v>966</v>
      </c>
      <c r="C375" s="62">
        <v>89960090</v>
      </c>
      <c r="D375" s="69" t="s">
        <v>238</v>
      </c>
      <c r="E375" s="69" t="s">
        <v>232</v>
      </c>
      <c r="F375" s="68" t="s">
        <v>967</v>
      </c>
    </row>
    <row r="376" spans="1:6">
      <c r="A376" s="62">
        <v>33</v>
      </c>
      <c r="B376" s="68" t="s">
        <v>968</v>
      </c>
      <c r="C376" s="62">
        <v>90400888</v>
      </c>
      <c r="D376" s="69" t="s">
        <v>231</v>
      </c>
      <c r="E376" s="69" t="s">
        <v>232</v>
      </c>
      <c r="F376" s="68" t="s">
        <v>969</v>
      </c>
    </row>
    <row r="377" spans="1:6">
      <c r="A377" s="62">
        <v>217</v>
      </c>
      <c r="B377" s="68" t="s">
        <v>970</v>
      </c>
      <c r="C377" s="62">
        <v>91884981</v>
      </c>
      <c r="D377" s="69" t="s">
        <v>231</v>
      </c>
      <c r="E377" s="69" t="s">
        <v>232</v>
      </c>
      <c r="F377" s="68" t="s">
        <v>971</v>
      </c>
    </row>
    <row r="378" spans="1:6">
      <c r="A378" s="62">
        <v>41</v>
      </c>
      <c r="B378" s="68" t="s">
        <v>972</v>
      </c>
      <c r="C378" s="62">
        <v>92702067</v>
      </c>
      <c r="D378" s="69" t="s">
        <v>231</v>
      </c>
      <c r="E378" s="69" t="s">
        <v>232</v>
      </c>
      <c r="F378" s="68" t="s">
        <v>973</v>
      </c>
    </row>
    <row r="379" spans="1:6">
      <c r="A379" s="62">
        <v>543</v>
      </c>
      <c r="B379" s="68" t="s">
        <v>974</v>
      </c>
      <c r="C379" s="62">
        <v>92825397</v>
      </c>
      <c r="D379" s="69" t="s">
        <v>238</v>
      </c>
      <c r="E379" s="69" t="s">
        <v>232</v>
      </c>
      <c r="F379" s="68" t="s">
        <v>975</v>
      </c>
    </row>
    <row r="380" spans="1:6">
      <c r="A380" s="62">
        <v>117</v>
      </c>
      <c r="B380" s="68" t="s">
        <v>976</v>
      </c>
      <c r="C380" s="62">
        <v>92856905</v>
      </c>
      <c r="D380" s="69" t="s">
        <v>238</v>
      </c>
      <c r="E380" s="69" t="s">
        <v>365</v>
      </c>
      <c r="F380" s="68" t="s">
        <v>977</v>
      </c>
    </row>
    <row r="381" spans="1:6">
      <c r="A381" s="62">
        <v>654</v>
      </c>
      <c r="B381" s="68" t="s">
        <v>978</v>
      </c>
      <c r="C381" s="62">
        <v>92874270</v>
      </c>
      <c r="D381" s="69" t="s">
        <v>231</v>
      </c>
      <c r="E381" s="69" t="s">
        <v>232</v>
      </c>
      <c r="F381" s="68" t="s">
        <v>979</v>
      </c>
    </row>
    <row r="382" spans="1:6">
      <c r="A382" s="62">
        <v>371</v>
      </c>
      <c r="B382" s="68" t="s">
        <v>980</v>
      </c>
      <c r="C382" s="62">
        <v>92875780</v>
      </c>
      <c r="D382" s="69" t="s">
        <v>238</v>
      </c>
      <c r="E382" s="69" t="s">
        <v>232</v>
      </c>
      <c r="F382" s="68" t="s">
        <v>981</v>
      </c>
    </row>
    <row r="383" spans="1:6">
      <c r="A383" s="62">
        <v>212</v>
      </c>
      <c r="B383" s="68" t="s">
        <v>982</v>
      </c>
      <c r="C383" s="62">
        <v>92894922</v>
      </c>
      <c r="D383" s="69" t="s">
        <v>231</v>
      </c>
      <c r="E383" s="69" t="s">
        <v>232</v>
      </c>
      <c r="F383" s="68" t="s">
        <v>983</v>
      </c>
    </row>
    <row r="384" spans="1:6">
      <c r="A384" s="62">
        <v>289</v>
      </c>
      <c r="B384" s="68" t="s">
        <v>984</v>
      </c>
      <c r="C384" s="62">
        <v>94968518</v>
      </c>
      <c r="D384" s="69" t="s">
        <v>238</v>
      </c>
      <c r="E384" s="69" t="s">
        <v>232</v>
      </c>
      <c r="F384" s="68" t="s">
        <v>985</v>
      </c>
    </row>
    <row r="385" spans="1:3">
      <c r="A385" s="62">
        <v>739</v>
      </c>
      <c r="B385" s="68" t="s">
        <v>211</v>
      </c>
      <c r="C385" s="62">
        <v>558456</v>
      </c>
    </row>
    <row r="386" spans="1:3">
      <c r="A386" s="62">
        <v>91</v>
      </c>
      <c r="B386" s="68" t="s">
        <v>212</v>
      </c>
      <c r="C386" s="62">
        <v>1634601</v>
      </c>
    </row>
    <row r="387" spans="1:3">
      <c r="A387" s="62">
        <v>108</v>
      </c>
      <c r="B387" s="68" t="s">
        <v>213</v>
      </c>
      <c r="C387" s="62">
        <v>1800019</v>
      </c>
    </row>
    <row r="388" spans="1:3">
      <c r="A388" s="62">
        <v>315</v>
      </c>
      <c r="B388" s="68" t="s">
        <v>214</v>
      </c>
      <c r="C388" s="62">
        <v>3502968</v>
      </c>
    </row>
    <row r="389" spans="1:3">
      <c r="A389" s="62">
        <v>114</v>
      </c>
      <c r="B389" s="68" t="s">
        <v>215</v>
      </c>
      <c r="C389" s="62">
        <v>5790149</v>
      </c>
    </row>
    <row r="390" spans="1:3">
      <c r="A390" s="62">
        <v>286</v>
      </c>
      <c r="B390" s="68" t="s">
        <v>216</v>
      </c>
      <c r="C390" s="62">
        <v>7853842</v>
      </c>
    </row>
    <row r="391" spans="1:3">
      <c r="A391" s="62">
        <v>92</v>
      </c>
      <c r="B391" s="68" t="s">
        <v>217</v>
      </c>
      <c r="C391" s="62">
        <v>12865507</v>
      </c>
    </row>
    <row r="392" spans="1:3">
      <c r="A392" s="62">
        <v>313</v>
      </c>
      <c r="B392" s="68" t="s">
        <v>218</v>
      </c>
      <c r="C392" s="62">
        <v>16927221</v>
      </c>
    </row>
    <row r="393" spans="1:3">
      <c r="A393" s="62">
        <v>163</v>
      </c>
      <c r="B393" s="68" t="s">
        <v>219</v>
      </c>
      <c r="C393" s="62">
        <v>23522214</v>
      </c>
    </row>
    <row r="394" spans="1:3">
      <c r="A394" s="62">
        <v>492</v>
      </c>
      <c r="B394" s="68" t="s">
        <v>220</v>
      </c>
      <c r="C394" s="62">
        <v>49336860</v>
      </c>
    </row>
    <row r="395" spans="1:3">
      <c r="A395" s="62">
        <v>354</v>
      </c>
      <c r="B395" s="68" t="s">
        <v>221</v>
      </c>
      <c r="C395" s="62">
        <v>52904364</v>
      </c>
    </row>
    <row r="396" spans="1:3">
      <c r="A396" s="62">
        <v>652</v>
      </c>
      <c r="B396" s="68" t="s">
        <v>222</v>
      </c>
      <c r="C396" s="62">
        <v>60872504</v>
      </c>
    </row>
    <row r="397" spans="1:3">
      <c r="A397" s="62">
        <v>169</v>
      </c>
      <c r="B397" s="68" t="s">
        <v>223</v>
      </c>
      <c r="C397" s="62">
        <v>71371686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5882-4D3C-450F-811B-AF77D7CDE356}">
  <sheetPr codeName="Planilha4"/>
  <dimension ref="A1:S547"/>
  <sheetViews>
    <sheetView tabSelected="1" zoomScale="85" zoomScaleNormal="85" workbookViewId="0">
      <selection activeCell="D10" sqref="D10"/>
    </sheetView>
  </sheetViews>
  <sheetFormatPr defaultRowHeight="15"/>
  <cols>
    <col min="1" max="1" width="29.140625" style="4" customWidth="1"/>
    <col min="2" max="2" width="13" style="4" customWidth="1"/>
    <col min="3" max="3" width="20.85546875" style="4" customWidth="1"/>
    <col min="4" max="4" width="15" style="4" customWidth="1"/>
    <col min="5" max="5" width="20.85546875" style="4" customWidth="1"/>
    <col min="6" max="6" width="35.5703125" bestFit="1" customWidth="1"/>
    <col min="7" max="7" width="23" bestFit="1" customWidth="1"/>
    <col min="8" max="8" width="31.42578125" style="3" customWidth="1"/>
    <col min="9" max="9" width="33.5703125" style="76" customWidth="1"/>
    <col min="10" max="10" width="9.5703125" customWidth="1"/>
    <col min="11" max="11" width="33.5703125" style="53" customWidth="1"/>
    <col min="12" max="12" width="28.85546875" bestFit="1" customWidth="1"/>
    <col min="13" max="13" width="47.140625" bestFit="1" customWidth="1"/>
    <col min="14" max="14" width="16.140625" bestFit="1" customWidth="1"/>
    <col min="15" max="15" width="9.7109375" bestFit="1" customWidth="1"/>
    <col min="16" max="16" width="15.140625" bestFit="1" customWidth="1"/>
    <col min="17" max="17" width="23.140625" bestFit="1" customWidth="1"/>
    <col min="18" max="18" width="20.140625" bestFit="1" customWidth="1"/>
    <col min="19" max="19" width="9" bestFit="1" customWidth="1"/>
  </cols>
  <sheetData>
    <row r="1" spans="1:19" ht="65.25" customHeight="1" thickBot="1">
      <c r="A1"/>
      <c r="B1"/>
      <c r="C1" s="55" t="s">
        <v>203</v>
      </c>
      <c r="D1" s="57">
        <v>34</v>
      </c>
      <c r="E1" s="58" t="s">
        <v>206</v>
      </c>
      <c r="F1" s="57">
        <f>COUNTA($F$3:$F$9999)</f>
        <v>10</v>
      </c>
      <c r="J1" s="53"/>
      <c r="N1" s="28" t="s">
        <v>133</v>
      </c>
    </row>
    <row r="2" spans="1:19">
      <c r="A2" s="47" t="s">
        <v>177</v>
      </c>
      <c r="B2" s="47" t="s">
        <v>202</v>
      </c>
      <c r="C2" s="47" t="s">
        <v>209</v>
      </c>
      <c r="D2" s="47" t="s">
        <v>201</v>
      </c>
      <c r="E2" s="61" t="s">
        <v>210</v>
      </c>
      <c r="F2" s="56" t="s">
        <v>178</v>
      </c>
      <c r="G2" s="46" t="s">
        <v>179</v>
      </c>
      <c r="H2" s="78" t="s">
        <v>101</v>
      </c>
      <c r="I2" s="77" t="s">
        <v>106</v>
      </c>
      <c r="J2" s="47" t="s">
        <v>207</v>
      </c>
      <c r="K2" s="54" t="s">
        <v>200</v>
      </c>
      <c r="L2" s="45" t="s">
        <v>190</v>
      </c>
      <c r="M2" s="72" t="s">
        <v>993</v>
      </c>
      <c r="N2" s="48" t="s">
        <v>180</v>
      </c>
      <c r="O2" s="47" t="s">
        <v>204</v>
      </c>
      <c r="P2" s="46" t="s">
        <v>179</v>
      </c>
      <c r="Q2" s="46" t="s">
        <v>205</v>
      </c>
      <c r="R2" t="s">
        <v>208</v>
      </c>
      <c r="S2" s="70" t="s">
        <v>986</v>
      </c>
    </row>
    <row r="3" spans="1:19">
      <c r="F3" t="s">
        <v>1003</v>
      </c>
      <c r="G3" s="1" t="s">
        <v>1013</v>
      </c>
      <c r="H3" s="3">
        <v>45082</v>
      </c>
      <c r="I3" s="76">
        <v>1500</v>
      </c>
      <c r="J3" s="49" t="s">
        <v>1000</v>
      </c>
      <c r="K3" t="s">
        <v>1039</v>
      </c>
      <c r="L3" t="s">
        <v>1002</v>
      </c>
      <c r="M3" t="s">
        <v>1024</v>
      </c>
      <c r="N3" t="str">
        <f>IF(G3="","",_xlfn.IFS(LEN(G3)=14,"2",LEN(G3)&lt;=11,"1"))</f>
        <v>1</v>
      </c>
      <c r="O3" t="str">
        <f>" "&amp;RIGHT(LEFT(L3,3),2)</f>
        <v xml:space="preserve"> 02</v>
      </c>
      <c r="P3" t="str">
        <f>IF(G3="","",TEXT(G3,"00000000000000"))</f>
        <v>00012345678900</v>
      </c>
      <c r="Q3" t="str">
        <f>TEXT(IF(F3="","",ROW(F3)-2),"00000")</f>
        <v>00001</v>
      </c>
      <c r="R3" t="str">
        <f>_xlfn.IFS(J3="","",J3="PIX","45",J3="TED","03",J3="PIX QR CODE","47")</f>
        <v>45</v>
      </c>
      <c r="S3" s="73">
        <v>60746948</v>
      </c>
    </row>
    <row r="4" spans="1:19">
      <c r="F4" t="s">
        <v>1004</v>
      </c>
      <c r="G4" s="1" t="s">
        <v>1014</v>
      </c>
      <c r="H4" s="3">
        <v>45082</v>
      </c>
      <c r="I4" s="76">
        <v>2300.5</v>
      </c>
      <c r="J4" s="49" t="s">
        <v>1000</v>
      </c>
      <c r="K4" s="1" t="s">
        <v>1040</v>
      </c>
      <c r="L4" t="s">
        <v>998</v>
      </c>
      <c r="M4" t="s">
        <v>1025</v>
      </c>
      <c r="N4" t="str">
        <f t="shared" ref="N4:N67" si="0">IF(G4="","",_xlfn.IFS(LEN(G4)=14,"2",LEN(G4)=11,"1"))</f>
        <v>1</v>
      </c>
      <c r="O4" t="str">
        <f t="shared" ref="O4:O67" si="1">" "&amp;RIGHT(LEFT(L4,3),2)</f>
        <v xml:space="preserve"> 01</v>
      </c>
      <c r="P4" t="str">
        <f t="shared" ref="P4:P67" si="2">IF(G4="","",TEXT(G4,"00000000000000"))</f>
        <v>00098765432100</v>
      </c>
      <c r="Q4" t="str">
        <f t="shared" ref="Q4:Q67" si="3">TEXT(IF(F4="","",ROW(F4)-2),"00000")</f>
        <v>00002</v>
      </c>
      <c r="R4" t="str">
        <f t="shared" ref="R4:R67" si="4">_xlfn.IFS(J4="","",J4="PIX","45",J4="TED","03",J4="PIX QR CODE","47")</f>
        <v>45</v>
      </c>
      <c r="S4" s="73">
        <v>60746948</v>
      </c>
    </row>
    <row r="5" spans="1:19">
      <c r="F5" t="s">
        <v>1005</v>
      </c>
      <c r="G5" s="1" t="s">
        <v>1015</v>
      </c>
      <c r="H5" s="3">
        <v>45082</v>
      </c>
      <c r="I5" s="76">
        <v>5000</v>
      </c>
      <c r="J5" s="49" t="s">
        <v>1000</v>
      </c>
      <c r="K5" s="1" t="s">
        <v>1015</v>
      </c>
      <c r="L5" t="s">
        <v>996</v>
      </c>
      <c r="M5" t="s">
        <v>1026</v>
      </c>
      <c r="N5" t="str">
        <f t="shared" si="0"/>
        <v>2</v>
      </c>
      <c r="O5" t="str">
        <f t="shared" si="1"/>
        <v xml:space="preserve"> 03</v>
      </c>
      <c r="P5" t="str">
        <f t="shared" si="2"/>
        <v>12345678000199</v>
      </c>
      <c r="Q5" t="str">
        <f t="shared" si="3"/>
        <v>00003</v>
      </c>
      <c r="R5" t="str">
        <f t="shared" si="4"/>
        <v>45</v>
      </c>
      <c r="S5" s="73">
        <v>60701190</v>
      </c>
    </row>
    <row r="6" spans="1:19">
      <c r="F6" t="s">
        <v>1006</v>
      </c>
      <c r="G6" s="1" t="s">
        <v>1016</v>
      </c>
      <c r="H6" s="3">
        <v>45081</v>
      </c>
      <c r="I6" s="76">
        <v>1200</v>
      </c>
      <c r="J6" s="49" t="s">
        <v>1000</v>
      </c>
      <c r="K6" t="s">
        <v>1041</v>
      </c>
      <c r="L6" t="s">
        <v>1002</v>
      </c>
      <c r="M6" t="s">
        <v>1027</v>
      </c>
      <c r="N6" t="str">
        <f t="shared" si="0"/>
        <v>1</v>
      </c>
      <c r="O6" t="str">
        <f t="shared" si="1"/>
        <v xml:space="preserve"> 02</v>
      </c>
      <c r="P6" t="str">
        <f t="shared" si="2"/>
        <v>00045678912300</v>
      </c>
      <c r="Q6" t="str">
        <f t="shared" si="3"/>
        <v>00004</v>
      </c>
      <c r="R6" t="str">
        <f t="shared" si="4"/>
        <v>45</v>
      </c>
      <c r="S6" s="73">
        <v>18236120</v>
      </c>
    </row>
    <row r="7" spans="1:19">
      <c r="F7" t="s">
        <v>1007</v>
      </c>
      <c r="G7" s="1" t="s">
        <v>1017</v>
      </c>
      <c r="H7" s="3">
        <v>45082</v>
      </c>
      <c r="I7" s="76">
        <v>800.75</v>
      </c>
      <c r="J7" s="49" t="s">
        <v>1000</v>
      </c>
      <c r="K7" s="1" t="s">
        <v>1042</v>
      </c>
      <c r="L7" t="s">
        <v>998</v>
      </c>
      <c r="M7" t="s">
        <v>1028</v>
      </c>
      <c r="N7" t="str">
        <f t="shared" si="0"/>
        <v>1</v>
      </c>
      <c r="O7" t="str">
        <f t="shared" si="1"/>
        <v xml:space="preserve"> 01</v>
      </c>
      <c r="P7" t="str">
        <f t="shared" si="2"/>
        <v>00032165498700</v>
      </c>
      <c r="Q7" t="str">
        <f t="shared" si="3"/>
        <v>00005</v>
      </c>
      <c r="R7" t="str">
        <f t="shared" si="4"/>
        <v>45</v>
      </c>
      <c r="S7" s="73">
        <v>31872495</v>
      </c>
    </row>
    <row r="8" spans="1:19">
      <c r="F8" t="s">
        <v>1008</v>
      </c>
      <c r="G8" s="1" t="s">
        <v>1018</v>
      </c>
      <c r="H8" s="3">
        <v>45082</v>
      </c>
      <c r="I8" s="76">
        <v>10000</v>
      </c>
      <c r="J8" s="49" t="s">
        <v>1000</v>
      </c>
      <c r="K8" s="1" t="s">
        <v>1023</v>
      </c>
      <c r="L8" t="s">
        <v>997</v>
      </c>
      <c r="M8" t="s">
        <v>1029</v>
      </c>
      <c r="N8" t="str">
        <f t="shared" si="0"/>
        <v>2</v>
      </c>
      <c r="O8" t="str">
        <f t="shared" si="1"/>
        <v xml:space="preserve"> 04</v>
      </c>
      <c r="P8" t="str">
        <f t="shared" si="2"/>
        <v>98765432000101</v>
      </c>
      <c r="Q8" t="str">
        <f t="shared" si="3"/>
        <v>00006</v>
      </c>
      <c r="R8" t="str">
        <f t="shared" si="4"/>
        <v>45</v>
      </c>
      <c r="S8" s="73">
        <v>18236120</v>
      </c>
    </row>
    <row r="9" spans="1:19">
      <c r="F9" t="s">
        <v>1009</v>
      </c>
      <c r="G9" s="1" t="s">
        <v>1019</v>
      </c>
      <c r="H9" s="3">
        <v>45081</v>
      </c>
      <c r="I9" s="76">
        <v>350</v>
      </c>
      <c r="J9" s="49" t="s">
        <v>1000</v>
      </c>
      <c r="K9" t="s">
        <v>1043</v>
      </c>
      <c r="L9" t="s">
        <v>1002</v>
      </c>
      <c r="M9" t="s">
        <v>1030</v>
      </c>
      <c r="N9" t="str">
        <f t="shared" si="0"/>
        <v>1</v>
      </c>
      <c r="O9" t="str">
        <f t="shared" si="1"/>
        <v xml:space="preserve"> 02</v>
      </c>
      <c r="P9" t="str">
        <f t="shared" si="2"/>
        <v>00065432198700</v>
      </c>
      <c r="Q9" t="str">
        <f t="shared" si="3"/>
        <v>00007</v>
      </c>
      <c r="R9" t="str">
        <f t="shared" si="4"/>
        <v>45</v>
      </c>
      <c r="S9" s="73">
        <v>18236120</v>
      </c>
    </row>
    <row r="10" spans="1:19">
      <c r="F10" t="s">
        <v>1010</v>
      </c>
      <c r="G10" s="1" t="s">
        <v>1020</v>
      </c>
      <c r="H10" s="3">
        <v>45081</v>
      </c>
      <c r="I10" s="76">
        <v>4500</v>
      </c>
      <c r="J10" s="49" t="s">
        <v>1000</v>
      </c>
      <c r="K10" s="1" t="s">
        <v>1044</v>
      </c>
      <c r="L10" t="s">
        <v>998</v>
      </c>
      <c r="M10" t="s">
        <v>1031</v>
      </c>
      <c r="N10" t="str">
        <f t="shared" si="0"/>
        <v>1</v>
      </c>
      <c r="O10" t="str">
        <f t="shared" si="1"/>
        <v xml:space="preserve"> 01</v>
      </c>
      <c r="P10" t="str">
        <f t="shared" si="2"/>
        <v>00078912345600</v>
      </c>
      <c r="Q10" t="str">
        <f t="shared" si="3"/>
        <v>00008</v>
      </c>
      <c r="R10" t="str">
        <f t="shared" si="4"/>
        <v>45</v>
      </c>
      <c r="S10" s="73">
        <v>18236120</v>
      </c>
    </row>
    <row r="11" spans="1:19">
      <c r="F11" t="s">
        <v>1011</v>
      </c>
      <c r="G11" s="1" t="s">
        <v>1021</v>
      </c>
      <c r="H11" s="3">
        <v>45082</v>
      </c>
      <c r="I11" s="76">
        <v>7500</v>
      </c>
      <c r="J11" s="49" t="s">
        <v>1000</v>
      </c>
      <c r="K11" s="1" t="s">
        <v>1045</v>
      </c>
      <c r="L11" t="s">
        <v>996</v>
      </c>
      <c r="M11" t="s">
        <v>1032</v>
      </c>
      <c r="N11" t="str">
        <f t="shared" si="0"/>
        <v>2</v>
      </c>
      <c r="O11" t="str">
        <f t="shared" si="1"/>
        <v xml:space="preserve"> 03</v>
      </c>
      <c r="P11" t="str">
        <f t="shared" si="2"/>
        <v>23456789000102</v>
      </c>
      <c r="Q11" t="str">
        <f t="shared" si="3"/>
        <v>00009</v>
      </c>
      <c r="R11" t="str">
        <f t="shared" si="4"/>
        <v>45</v>
      </c>
      <c r="S11" s="73">
        <v>31872495</v>
      </c>
    </row>
    <row r="12" spans="1:19">
      <c r="F12" t="s">
        <v>1012</v>
      </c>
      <c r="G12" s="1" t="s">
        <v>1022</v>
      </c>
      <c r="H12" s="3">
        <v>45082</v>
      </c>
      <c r="I12" s="76">
        <v>200</v>
      </c>
      <c r="J12" s="49" t="s">
        <v>1000</v>
      </c>
      <c r="K12" t="s">
        <v>1046</v>
      </c>
      <c r="L12" t="s">
        <v>997</v>
      </c>
      <c r="M12" t="s">
        <v>1033</v>
      </c>
      <c r="N12" t="str">
        <f t="shared" si="0"/>
        <v>1</v>
      </c>
      <c r="O12" t="str">
        <f t="shared" si="1"/>
        <v xml:space="preserve"> 04</v>
      </c>
      <c r="P12" t="str">
        <f t="shared" si="2"/>
        <v>00098712345600</v>
      </c>
      <c r="Q12" t="str">
        <f t="shared" si="3"/>
        <v>00010</v>
      </c>
      <c r="R12" t="str">
        <f t="shared" si="4"/>
        <v>45</v>
      </c>
      <c r="S12" s="73">
        <v>416968</v>
      </c>
    </row>
    <row r="13" spans="1:19">
      <c r="J13" s="49"/>
      <c r="N13" t="str">
        <f t="shared" si="0"/>
        <v/>
      </c>
      <c r="O13" t="str">
        <f t="shared" si="1"/>
        <v xml:space="preserve"> </v>
      </c>
      <c r="P13" t="str">
        <f t="shared" si="2"/>
        <v/>
      </c>
      <c r="Q13" t="str">
        <f t="shared" si="3"/>
        <v/>
      </c>
      <c r="R13" t="str">
        <f t="shared" si="4"/>
        <v/>
      </c>
      <c r="S13" s="73"/>
    </row>
    <row r="14" spans="1:19">
      <c r="J14" s="49"/>
      <c r="N14" t="str">
        <f t="shared" si="0"/>
        <v/>
      </c>
      <c r="O14" t="str">
        <f t="shared" si="1"/>
        <v xml:space="preserve"> </v>
      </c>
      <c r="P14" t="str">
        <f t="shared" si="2"/>
        <v/>
      </c>
      <c r="Q14" t="str">
        <f t="shared" si="3"/>
        <v/>
      </c>
      <c r="R14" t="str">
        <f t="shared" si="4"/>
        <v/>
      </c>
      <c r="S14" s="73"/>
    </row>
    <row r="15" spans="1:19">
      <c r="J15" s="49"/>
      <c r="N15" t="str">
        <f t="shared" si="0"/>
        <v/>
      </c>
      <c r="O15" t="str">
        <f t="shared" si="1"/>
        <v xml:space="preserve"> </v>
      </c>
      <c r="P15" t="str">
        <f t="shared" si="2"/>
        <v/>
      </c>
      <c r="Q15" t="str">
        <f t="shared" si="3"/>
        <v/>
      </c>
      <c r="R15" t="str">
        <f t="shared" si="4"/>
        <v/>
      </c>
      <c r="S15" s="73"/>
    </row>
    <row r="16" spans="1:19">
      <c r="J16" s="49"/>
      <c r="N16" t="str">
        <f t="shared" si="0"/>
        <v/>
      </c>
      <c r="O16" t="str">
        <f t="shared" si="1"/>
        <v xml:space="preserve"> </v>
      </c>
      <c r="P16" t="str">
        <f t="shared" si="2"/>
        <v/>
      </c>
      <c r="Q16" t="str">
        <f t="shared" si="3"/>
        <v/>
      </c>
      <c r="R16" t="str">
        <f t="shared" si="4"/>
        <v/>
      </c>
      <c r="S16" s="73"/>
    </row>
    <row r="17" spans="10:19">
      <c r="J17" s="49"/>
      <c r="N17" t="str">
        <f t="shared" si="0"/>
        <v/>
      </c>
      <c r="O17" t="str">
        <f t="shared" si="1"/>
        <v xml:space="preserve"> </v>
      </c>
      <c r="P17" t="str">
        <f t="shared" si="2"/>
        <v/>
      </c>
      <c r="Q17" t="str">
        <f t="shared" si="3"/>
        <v/>
      </c>
      <c r="R17" t="str">
        <f t="shared" si="4"/>
        <v/>
      </c>
      <c r="S17" s="73"/>
    </row>
    <row r="18" spans="10:19">
      <c r="J18" s="49"/>
      <c r="N18" t="str">
        <f t="shared" si="0"/>
        <v/>
      </c>
      <c r="O18" t="str">
        <f t="shared" si="1"/>
        <v xml:space="preserve"> </v>
      </c>
      <c r="P18" t="str">
        <f t="shared" si="2"/>
        <v/>
      </c>
      <c r="Q18" t="str">
        <f t="shared" si="3"/>
        <v/>
      </c>
      <c r="R18" t="str">
        <f t="shared" si="4"/>
        <v/>
      </c>
      <c r="S18" s="73"/>
    </row>
    <row r="19" spans="10:19">
      <c r="J19" s="49"/>
      <c r="N19" t="str">
        <f t="shared" si="0"/>
        <v/>
      </c>
      <c r="O19" t="str">
        <f t="shared" si="1"/>
        <v xml:space="preserve"> </v>
      </c>
      <c r="P19" t="str">
        <f t="shared" si="2"/>
        <v/>
      </c>
      <c r="Q19" t="str">
        <f t="shared" si="3"/>
        <v/>
      </c>
      <c r="R19" t="str">
        <f t="shared" si="4"/>
        <v/>
      </c>
      <c r="S19" s="73"/>
    </row>
    <row r="20" spans="10:19">
      <c r="J20" s="49"/>
      <c r="N20" t="str">
        <f t="shared" si="0"/>
        <v/>
      </c>
      <c r="O20" t="str">
        <f t="shared" si="1"/>
        <v xml:space="preserve"> </v>
      </c>
      <c r="P20" t="str">
        <f t="shared" si="2"/>
        <v/>
      </c>
      <c r="Q20" t="str">
        <f t="shared" si="3"/>
        <v/>
      </c>
      <c r="R20" t="str">
        <f t="shared" si="4"/>
        <v/>
      </c>
    </row>
    <row r="21" spans="10:19">
      <c r="J21" s="49"/>
      <c r="N21" t="str">
        <f t="shared" si="0"/>
        <v/>
      </c>
      <c r="O21" t="str">
        <f t="shared" si="1"/>
        <v xml:space="preserve"> </v>
      </c>
      <c r="P21" t="str">
        <f t="shared" si="2"/>
        <v/>
      </c>
      <c r="Q21" t="str">
        <f t="shared" si="3"/>
        <v/>
      </c>
      <c r="R21" t="str">
        <f t="shared" si="4"/>
        <v/>
      </c>
    </row>
    <row r="22" spans="10:19">
      <c r="J22" s="49"/>
      <c r="N22" t="str">
        <f t="shared" si="0"/>
        <v/>
      </c>
      <c r="O22" t="str">
        <f t="shared" si="1"/>
        <v xml:space="preserve"> </v>
      </c>
      <c r="P22" t="str">
        <f t="shared" si="2"/>
        <v/>
      </c>
      <c r="Q22" t="str">
        <f t="shared" si="3"/>
        <v/>
      </c>
      <c r="R22" t="str">
        <f t="shared" si="4"/>
        <v/>
      </c>
    </row>
    <row r="23" spans="10:19">
      <c r="J23" s="49"/>
      <c r="N23" t="str">
        <f t="shared" si="0"/>
        <v/>
      </c>
      <c r="O23" t="str">
        <f t="shared" si="1"/>
        <v xml:space="preserve"> </v>
      </c>
      <c r="P23" t="str">
        <f t="shared" si="2"/>
        <v/>
      </c>
      <c r="Q23" t="str">
        <f t="shared" si="3"/>
        <v/>
      </c>
      <c r="R23" t="str">
        <f t="shared" si="4"/>
        <v/>
      </c>
    </row>
    <row r="24" spans="10:19">
      <c r="J24" s="49"/>
      <c r="N24" t="str">
        <f t="shared" si="0"/>
        <v/>
      </c>
      <c r="O24" t="str">
        <f t="shared" si="1"/>
        <v xml:space="preserve"> </v>
      </c>
      <c r="P24" t="str">
        <f t="shared" si="2"/>
        <v/>
      </c>
      <c r="Q24" t="str">
        <f t="shared" si="3"/>
        <v/>
      </c>
      <c r="R24" t="str">
        <f t="shared" si="4"/>
        <v/>
      </c>
    </row>
    <row r="25" spans="10:19">
      <c r="J25" s="49"/>
      <c r="N25" t="str">
        <f t="shared" si="0"/>
        <v/>
      </c>
      <c r="O25" t="str">
        <f t="shared" si="1"/>
        <v xml:space="preserve"> </v>
      </c>
      <c r="P25" t="str">
        <f t="shared" si="2"/>
        <v/>
      </c>
      <c r="Q25" t="str">
        <f t="shared" si="3"/>
        <v/>
      </c>
      <c r="R25" t="str">
        <f t="shared" si="4"/>
        <v/>
      </c>
    </row>
    <row r="26" spans="10:19">
      <c r="J26" s="49"/>
      <c r="N26" t="str">
        <f t="shared" si="0"/>
        <v/>
      </c>
      <c r="O26" t="str">
        <f t="shared" si="1"/>
        <v xml:space="preserve"> </v>
      </c>
      <c r="P26" t="str">
        <f t="shared" si="2"/>
        <v/>
      </c>
      <c r="Q26" t="str">
        <f t="shared" si="3"/>
        <v/>
      </c>
      <c r="R26" t="str">
        <f t="shared" si="4"/>
        <v/>
      </c>
    </row>
    <row r="27" spans="10:19">
      <c r="J27" s="49"/>
      <c r="N27" t="str">
        <f t="shared" si="0"/>
        <v/>
      </c>
      <c r="O27" t="str">
        <f t="shared" si="1"/>
        <v xml:space="preserve"> </v>
      </c>
      <c r="P27" t="str">
        <f t="shared" si="2"/>
        <v/>
      </c>
      <c r="Q27" t="str">
        <f t="shared" si="3"/>
        <v/>
      </c>
      <c r="R27" t="str">
        <f t="shared" si="4"/>
        <v/>
      </c>
    </row>
    <row r="28" spans="10:19">
      <c r="J28" s="49"/>
      <c r="N28" t="str">
        <f t="shared" si="0"/>
        <v/>
      </c>
      <c r="O28" t="str">
        <f t="shared" si="1"/>
        <v xml:space="preserve"> </v>
      </c>
      <c r="P28" t="str">
        <f t="shared" si="2"/>
        <v/>
      </c>
      <c r="Q28" t="str">
        <f t="shared" si="3"/>
        <v/>
      </c>
      <c r="R28" t="str">
        <f t="shared" si="4"/>
        <v/>
      </c>
    </row>
    <row r="29" spans="10:19">
      <c r="J29" s="49"/>
      <c r="N29" t="str">
        <f t="shared" si="0"/>
        <v/>
      </c>
      <c r="O29" t="str">
        <f t="shared" si="1"/>
        <v xml:space="preserve"> </v>
      </c>
      <c r="P29" t="str">
        <f t="shared" si="2"/>
        <v/>
      </c>
      <c r="Q29" t="str">
        <f t="shared" si="3"/>
        <v/>
      </c>
      <c r="R29" t="str">
        <f t="shared" si="4"/>
        <v/>
      </c>
    </row>
    <row r="30" spans="10:19">
      <c r="J30" s="49"/>
      <c r="N30" t="str">
        <f t="shared" si="0"/>
        <v/>
      </c>
      <c r="O30" t="str">
        <f t="shared" si="1"/>
        <v xml:space="preserve"> </v>
      </c>
      <c r="P30" t="str">
        <f t="shared" si="2"/>
        <v/>
      </c>
      <c r="Q30" t="str">
        <f t="shared" si="3"/>
        <v/>
      </c>
      <c r="R30" t="str">
        <f t="shared" si="4"/>
        <v/>
      </c>
    </row>
    <row r="31" spans="10:19">
      <c r="J31" s="49"/>
      <c r="N31" t="str">
        <f t="shared" si="0"/>
        <v/>
      </c>
      <c r="O31" t="str">
        <f t="shared" si="1"/>
        <v xml:space="preserve"> </v>
      </c>
      <c r="P31" t="str">
        <f t="shared" si="2"/>
        <v/>
      </c>
      <c r="Q31" t="str">
        <f t="shared" si="3"/>
        <v/>
      </c>
      <c r="R31" t="str">
        <f t="shared" si="4"/>
        <v/>
      </c>
    </row>
    <row r="32" spans="10:19">
      <c r="J32" s="49"/>
      <c r="N32" t="str">
        <f t="shared" si="0"/>
        <v/>
      </c>
      <c r="O32" t="str">
        <f t="shared" si="1"/>
        <v xml:space="preserve"> </v>
      </c>
      <c r="P32" t="str">
        <f t="shared" si="2"/>
        <v/>
      </c>
      <c r="Q32" t="str">
        <f t="shared" si="3"/>
        <v/>
      </c>
      <c r="R32" t="str">
        <f t="shared" si="4"/>
        <v/>
      </c>
    </row>
    <row r="33" spans="10:18">
      <c r="J33" s="49"/>
      <c r="N33" t="str">
        <f t="shared" si="0"/>
        <v/>
      </c>
      <c r="O33" t="str">
        <f t="shared" si="1"/>
        <v xml:space="preserve"> </v>
      </c>
      <c r="P33" t="str">
        <f t="shared" si="2"/>
        <v/>
      </c>
      <c r="Q33" t="str">
        <f t="shared" si="3"/>
        <v/>
      </c>
      <c r="R33" t="str">
        <f t="shared" si="4"/>
        <v/>
      </c>
    </row>
    <row r="34" spans="10:18">
      <c r="J34" s="49"/>
      <c r="N34" t="str">
        <f t="shared" si="0"/>
        <v/>
      </c>
      <c r="O34" t="str">
        <f t="shared" si="1"/>
        <v xml:space="preserve"> </v>
      </c>
      <c r="P34" t="str">
        <f t="shared" si="2"/>
        <v/>
      </c>
      <c r="Q34" t="str">
        <f t="shared" si="3"/>
        <v/>
      </c>
      <c r="R34" t="str">
        <f t="shared" si="4"/>
        <v/>
      </c>
    </row>
    <row r="35" spans="10:18">
      <c r="J35" s="49"/>
      <c r="N35" t="str">
        <f t="shared" si="0"/>
        <v/>
      </c>
      <c r="O35" t="str">
        <f t="shared" si="1"/>
        <v xml:space="preserve"> </v>
      </c>
      <c r="P35" t="str">
        <f t="shared" si="2"/>
        <v/>
      </c>
      <c r="Q35" t="str">
        <f t="shared" si="3"/>
        <v/>
      </c>
      <c r="R35" t="str">
        <f t="shared" si="4"/>
        <v/>
      </c>
    </row>
    <row r="36" spans="10:18">
      <c r="J36" s="49"/>
      <c r="N36" t="str">
        <f t="shared" si="0"/>
        <v/>
      </c>
      <c r="O36" t="str">
        <f t="shared" si="1"/>
        <v xml:space="preserve"> </v>
      </c>
      <c r="P36" t="str">
        <f t="shared" si="2"/>
        <v/>
      </c>
      <c r="Q36" t="str">
        <f t="shared" si="3"/>
        <v/>
      </c>
      <c r="R36" t="str">
        <f t="shared" si="4"/>
        <v/>
      </c>
    </row>
    <row r="37" spans="10:18">
      <c r="J37" s="49"/>
      <c r="N37" t="str">
        <f t="shared" si="0"/>
        <v/>
      </c>
      <c r="O37" t="str">
        <f t="shared" si="1"/>
        <v xml:space="preserve"> </v>
      </c>
      <c r="P37" t="str">
        <f t="shared" si="2"/>
        <v/>
      </c>
      <c r="Q37" t="str">
        <f t="shared" si="3"/>
        <v/>
      </c>
      <c r="R37" t="str">
        <f t="shared" si="4"/>
        <v/>
      </c>
    </row>
    <row r="38" spans="10:18">
      <c r="J38" s="49"/>
      <c r="N38" t="str">
        <f t="shared" si="0"/>
        <v/>
      </c>
      <c r="O38" t="str">
        <f t="shared" si="1"/>
        <v xml:space="preserve"> </v>
      </c>
      <c r="P38" t="str">
        <f t="shared" si="2"/>
        <v/>
      </c>
      <c r="Q38" t="str">
        <f t="shared" si="3"/>
        <v/>
      </c>
      <c r="R38" t="str">
        <f t="shared" si="4"/>
        <v/>
      </c>
    </row>
    <row r="39" spans="10:18">
      <c r="J39" s="49"/>
      <c r="N39" t="str">
        <f t="shared" si="0"/>
        <v/>
      </c>
      <c r="O39" t="str">
        <f t="shared" si="1"/>
        <v xml:space="preserve"> </v>
      </c>
      <c r="P39" t="str">
        <f t="shared" si="2"/>
        <v/>
      </c>
      <c r="Q39" t="str">
        <f t="shared" si="3"/>
        <v/>
      </c>
      <c r="R39" t="str">
        <f t="shared" si="4"/>
        <v/>
      </c>
    </row>
    <row r="40" spans="10:18">
      <c r="J40" s="49"/>
      <c r="N40" t="str">
        <f t="shared" si="0"/>
        <v/>
      </c>
      <c r="O40" t="str">
        <f t="shared" si="1"/>
        <v xml:space="preserve"> </v>
      </c>
      <c r="P40" t="str">
        <f t="shared" si="2"/>
        <v/>
      </c>
      <c r="Q40" t="str">
        <f t="shared" si="3"/>
        <v/>
      </c>
      <c r="R40" t="str">
        <f t="shared" si="4"/>
        <v/>
      </c>
    </row>
    <row r="41" spans="10:18">
      <c r="J41" s="49"/>
      <c r="N41" t="str">
        <f t="shared" si="0"/>
        <v/>
      </c>
      <c r="O41" t="str">
        <f t="shared" si="1"/>
        <v xml:space="preserve"> </v>
      </c>
      <c r="P41" t="str">
        <f t="shared" si="2"/>
        <v/>
      </c>
      <c r="Q41" t="str">
        <f t="shared" si="3"/>
        <v/>
      </c>
      <c r="R41" t="str">
        <f t="shared" si="4"/>
        <v/>
      </c>
    </row>
    <row r="42" spans="10:18">
      <c r="J42" s="49"/>
      <c r="N42" t="str">
        <f t="shared" si="0"/>
        <v/>
      </c>
      <c r="O42" t="str">
        <f t="shared" si="1"/>
        <v xml:space="preserve"> </v>
      </c>
      <c r="P42" t="str">
        <f t="shared" si="2"/>
        <v/>
      </c>
      <c r="Q42" t="str">
        <f t="shared" si="3"/>
        <v/>
      </c>
      <c r="R42" t="str">
        <f t="shared" si="4"/>
        <v/>
      </c>
    </row>
    <row r="43" spans="10:18">
      <c r="J43" s="49"/>
      <c r="N43" t="str">
        <f t="shared" si="0"/>
        <v/>
      </c>
      <c r="O43" t="str">
        <f t="shared" si="1"/>
        <v xml:space="preserve"> </v>
      </c>
      <c r="P43" t="str">
        <f t="shared" si="2"/>
        <v/>
      </c>
      <c r="Q43" t="str">
        <f t="shared" si="3"/>
        <v/>
      </c>
      <c r="R43" t="str">
        <f t="shared" si="4"/>
        <v/>
      </c>
    </row>
    <row r="44" spans="10:18">
      <c r="J44" s="49"/>
      <c r="N44" t="str">
        <f t="shared" si="0"/>
        <v/>
      </c>
      <c r="O44" t="str">
        <f t="shared" si="1"/>
        <v xml:space="preserve"> </v>
      </c>
      <c r="P44" t="str">
        <f t="shared" si="2"/>
        <v/>
      </c>
      <c r="Q44" t="str">
        <f t="shared" si="3"/>
        <v/>
      </c>
      <c r="R44" t="str">
        <f t="shared" si="4"/>
        <v/>
      </c>
    </row>
    <row r="45" spans="10:18">
      <c r="J45" s="49"/>
      <c r="N45" t="str">
        <f t="shared" si="0"/>
        <v/>
      </c>
      <c r="O45" t="str">
        <f t="shared" si="1"/>
        <v xml:space="preserve"> </v>
      </c>
      <c r="P45" t="str">
        <f t="shared" si="2"/>
        <v/>
      </c>
      <c r="Q45" t="str">
        <f t="shared" si="3"/>
        <v/>
      </c>
      <c r="R45" t="str">
        <f t="shared" si="4"/>
        <v/>
      </c>
    </row>
    <row r="46" spans="10:18">
      <c r="J46" s="49"/>
      <c r="N46" t="str">
        <f t="shared" si="0"/>
        <v/>
      </c>
      <c r="O46" t="str">
        <f t="shared" si="1"/>
        <v xml:space="preserve"> </v>
      </c>
      <c r="P46" t="str">
        <f t="shared" si="2"/>
        <v/>
      </c>
      <c r="Q46" t="str">
        <f t="shared" si="3"/>
        <v/>
      </c>
      <c r="R46" t="str">
        <f t="shared" si="4"/>
        <v/>
      </c>
    </row>
    <row r="47" spans="10:18">
      <c r="J47" s="49"/>
      <c r="N47" t="str">
        <f t="shared" si="0"/>
        <v/>
      </c>
      <c r="O47" t="str">
        <f t="shared" si="1"/>
        <v xml:space="preserve"> </v>
      </c>
      <c r="P47" t="str">
        <f t="shared" si="2"/>
        <v/>
      </c>
      <c r="Q47" t="str">
        <f t="shared" si="3"/>
        <v/>
      </c>
      <c r="R47" t="str">
        <f t="shared" si="4"/>
        <v/>
      </c>
    </row>
    <row r="48" spans="10:18">
      <c r="J48" s="49"/>
      <c r="N48" t="str">
        <f t="shared" si="0"/>
        <v/>
      </c>
      <c r="O48" t="str">
        <f t="shared" si="1"/>
        <v xml:space="preserve"> </v>
      </c>
      <c r="P48" t="str">
        <f t="shared" si="2"/>
        <v/>
      </c>
      <c r="Q48" t="str">
        <f t="shared" si="3"/>
        <v/>
      </c>
      <c r="R48" t="str">
        <f t="shared" si="4"/>
        <v/>
      </c>
    </row>
    <row r="49" spans="10:18">
      <c r="J49" s="49"/>
      <c r="N49" t="str">
        <f t="shared" si="0"/>
        <v/>
      </c>
      <c r="O49" t="str">
        <f t="shared" si="1"/>
        <v xml:space="preserve"> </v>
      </c>
      <c r="P49" t="str">
        <f t="shared" si="2"/>
        <v/>
      </c>
      <c r="Q49" t="str">
        <f t="shared" si="3"/>
        <v/>
      </c>
      <c r="R49" t="str">
        <f t="shared" si="4"/>
        <v/>
      </c>
    </row>
    <row r="50" spans="10:18">
      <c r="J50" s="49"/>
      <c r="N50" t="str">
        <f t="shared" si="0"/>
        <v/>
      </c>
      <c r="O50" t="str">
        <f t="shared" si="1"/>
        <v xml:space="preserve"> </v>
      </c>
      <c r="P50" t="str">
        <f t="shared" si="2"/>
        <v/>
      </c>
      <c r="Q50" t="str">
        <f t="shared" si="3"/>
        <v/>
      </c>
      <c r="R50" t="str">
        <f t="shared" si="4"/>
        <v/>
      </c>
    </row>
    <row r="51" spans="10:18">
      <c r="J51" s="49"/>
      <c r="N51" t="str">
        <f t="shared" si="0"/>
        <v/>
      </c>
      <c r="O51" t="str">
        <f t="shared" si="1"/>
        <v xml:space="preserve"> </v>
      </c>
      <c r="P51" t="str">
        <f t="shared" si="2"/>
        <v/>
      </c>
      <c r="Q51" t="str">
        <f t="shared" si="3"/>
        <v/>
      </c>
      <c r="R51" t="str">
        <f t="shared" si="4"/>
        <v/>
      </c>
    </row>
    <row r="52" spans="10:18">
      <c r="J52" s="49"/>
      <c r="N52" t="str">
        <f t="shared" si="0"/>
        <v/>
      </c>
      <c r="O52" t="str">
        <f t="shared" si="1"/>
        <v xml:space="preserve"> </v>
      </c>
      <c r="P52" t="str">
        <f t="shared" si="2"/>
        <v/>
      </c>
      <c r="Q52" t="str">
        <f t="shared" si="3"/>
        <v/>
      </c>
      <c r="R52" t="str">
        <f t="shared" si="4"/>
        <v/>
      </c>
    </row>
    <row r="53" spans="10:18">
      <c r="J53" s="49"/>
      <c r="N53" t="str">
        <f t="shared" si="0"/>
        <v/>
      </c>
      <c r="O53" t="str">
        <f t="shared" si="1"/>
        <v xml:space="preserve"> </v>
      </c>
      <c r="P53" t="str">
        <f t="shared" si="2"/>
        <v/>
      </c>
      <c r="Q53" t="str">
        <f t="shared" si="3"/>
        <v/>
      </c>
      <c r="R53" t="str">
        <f t="shared" si="4"/>
        <v/>
      </c>
    </row>
    <row r="54" spans="10:18">
      <c r="J54" s="49"/>
      <c r="N54" t="str">
        <f t="shared" si="0"/>
        <v/>
      </c>
      <c r="O54" t="str">
        <f t="shared" si="1"/>
        <v xml:space="preserve"> </v>
      </c>
      <c r="P54" t="str">
        <f t="shared" si="2"/>
        <v/>
      </c>
      <c r="Q54" t="str">
        <f t="shared" si="3"/>
        <v/>
      </c>
      <c r="R54" t="str">
        <f t="shared" si="4"/>
        <v/>
      </c>
    </row>
    <row r="55" spans="10:18">
      <c r="J55" s="49"/>
      <c r="N55" t="str">
        <f t="shared" si="0"/>
        <v/>
      </c>
      <c r="O55" t="str">
        <f t="shared" si="1"/>
        <v xml:space="preserve"> </v>
      </c>
      <c r="P55" t="str">
        <f t="shared" si="2"/>
        <v/>
      </c>
      <c r="Q55" t="str">
        <f t="shared" si="3"/>
        <v/>
      </c>
      <c r="R55" t="str">
        <f t="shared" si="4"/>
        <v/>
      </c>
    </row>
    <row r="56" spans="10:18">
      <c r="J56" s="49"/>
      <c r="N56" t="str">
        <f t="shared" si="0"/>
        <v/>
      </c>
      <c r="O56" t="str">
        <f t="shared" si="1"/>
        <v xml:space="preserve"> </v>
      </c>
      <c r="P56" t="str">
        <f t="shared" si="2"/>
        <v/>
      </c>
      <c r="Q56" t="str">
        <f t="shared" si="3"/>
        <v/>
      </c>
      <c r="R56" t="str">
        <f t="shared" si="4"/>
        <v/>
      </c>
    </row>
    <row r="57" spans="10:18">
      <c r="J57" s="49"/>
      <c r="N57" t="str">
        <f t="shared" si="0"/>
        <v/>
      </c>
      <c r="O57" t="str">
        <f t="shared" si="1"/>
        <v xml:space="preserve"> </v>
      </c>
      <c r="P57" t="str">
        <f t="shared" si="2"/>
        <v/>
      </c>
      <c r="Q57" t="str">
        <f t="shared" si="3"/>
        <v/>
      </c>
      <c r="R57" t="str">
        <f t="shared" si="4"/>
        <v/>
      </c>
    </row>
    <row r="58" spans="10:18">
      <c r="J58" s="49"/>
      <c r="N58" t="str">
        <f t="shared" si="0"/>
        <v/>
      </c>
      <c r="O58" t="str">
        <f t="shared" si="1"/>
        <v xml:space="preserve"> </v>
      </c>
      <c r="P58" t="str">
        <f t="shared" si="2"/>
        <v/>
      </c>
      <c r="Q58" t="str">
        <f t="shared" si="3"/>
        <v/>
      </c>
      <c r="R58" t="str">
        <f t="shared" si="4"/>
        <v/>
      </c>
    </row>
    <row r="59" spans="10:18">
      <c r="J59" s="49"/>
      <c r="N59" t="str">
        <f t="shared" si="0"/>
        <v/>
      </c>
      <c r="O59" t="str">
        <f t="shared" si="1"/>
        <v xml:space="preserve"> </v>
      </c>
      <c r="P59" t="str">
        <f t="shared" si="2"/>
        <v/>
      </c>
      <c r="Q59" t="str">
        <f t="shared" si="3"/>
        <v/>
      </c>
      <c r="R59" t="str">
        <f t="shared" si="4"/>
        <v/>
      </c>
    </row>
    <row r="60" spans="10:18">
      <c r="J60" s="49"/>
      <c r="N60" t="str">
        <f t="shared" si="0"/>
        <v/>
      </c>
      <c r="O60" t="str">
        <f t="shared" si="1"/>
        <v xml:space="preserve"> </v>
      </c>
      <c r="P60" t="str">
        <f t="shared" si="2"/>
        <v/>
      </c>
      <c r="Q60" t="str">
        <f t="shared" si="3"/>
        <v/>
      </c>
      <c r="R60" t="str">
        <f t="shared" si="4"/>
        <v/>
      </c>
    </row>
    <row r="61" spans="10:18">
      <c r="J61" s="49"/>
      <c r="N61" t="str">
        <f t="shared" si="0"/>
        <v/>
      </c>
      <c r="O61" t="str">
        <f t="shared" si="1"/>
        <v xml:space="preserve"> </v>
      </c>
      <c r="P61" t="str">
        <f t="shared" si="2"/>
        <v/>
      </c>
      <c r="Q61" t="str">
        <f t="shared" si="3"/>
        <v/>
      </c>
      <c r="R61" t="str">
        <f t="shared" si="4"/>
        <v/>
      </c>
    </row>
    <row r="62" spans="10:18">
      <c r="J62" s="49"/>
      <c r="N62" t="str">
        <f t="shared" si="0"/>
        <v/>
      </c>
      <c r="O62" t="str">
        <f t="shared" si="1"/>
        <v xml:space="preserve"> </v>
      </c>
      <c r="P62" t="str">
        <f t="shared" si="2"/>
        <v/>
      </c>
      <c r="Q62" t="str">
        <f t="shared" si="3"/>
        <v/>
      </c>
      <c r="R62" t="str">
        <f t="shared" si="4"/>
        <v/>
      </c>
    </row>
    <row r="63" spans="10:18">
      <c r="J63" s="49"/>
      <c r="N63" t="str">
        <f t="shared" si="0"/>
        <v/>
      </c>
      <c r="O63" t="str">
        <f t="shared" si="1"/>
        <v xml:space="preserve"> </v>
      </c>
      <c r="P63" t="str">
        <f t="shared" si="2"/>
        <v/>
      </c>
      <c r="Q63" t="str">
        <f t="shared" si="3"/>
        <v/>
      </c>
      <c r="R63" t="str">
        <f t="shared" si="4"/>
        <v/>
      </c>
    </row>
    <row r="64" spans="10:18">
      <c r="J64" s="49"/>
      <c r="N64" t="str">
        <f t="shared" si="0"/>
        <v/>
      </c>
      <c r="O64" t="str">
        <f t="shared" si="1"/>
        <v xml:space="preserve"> </v>
      </c>
      <c r="P64" t="str">
        <f t="shared" si="2"/>
        <v/>
      </c>
      <c r="Q64" t="str">
        <f t="shared" si="3"/>
        <v/>
      </c>
      <c r="R64" t="str">
        <f t="shared" si="4"/>
        <v/>
      </c>
    </row>
    <row r="65" spans="10:18">
      <c r="J65" s="49"/>
      <c r="N65" t="str">
        <f t="shared" si="0"/>
        <v/>
      </c>
      <c r="O65" t="str">
        <f t="shared" si="1"/>
        <v xml:space="preserve"> </v>
      </c>
      <c r="P65" t="str">
        <f t="shared" si="2"/>
        <v/>
      </c>
      <c r="Q65" t="str">
        <f t="shared" si="3"/>
        <v/>
      </c>
      <c r="R65" t="str">
        <f t="shared" si="4"/>
        <v/>
      </c>
    </row>
    <row r="66" spans="10:18">
      <c r="J66" s="49"/>
      <c r="N66" t="str">
        <f t="shared" si="0"/>
        <v/>
      </c>
      <c r="O66" t="str">
        <f t="shared" si="1"/>
        <v xml:space="preserve"> </v>
      </c>
      <c r="P66" t="str">
        <f t="shared" si="2"/>
        <v/>
      </c>
      <c r="Q66" t="str">
        <f t="shared" si="3"/>
        <v/>
      </c>
      <c r="R66" t="str">
        <f t="shared" si="4"/>
        <v/>
      </c>
    </row>
    <row r="67" spans="10:18">
      <c r="J67" s="49"/>
      <c r="N67" t="str">
        <f t="shared" si="0"/>
        <v/>
      </c>
      <c r="O67" t="str">
        <f t="shared" si="1"/>
        <v xml:space="preserve"> </v>
      </c>
      <c r="P67" t="str">
        <f t="shared" si="2"/>
        <v/>
      </c>
      <c r="Q67" t="str">
        <f t="shared" si="3"/>
        <v/>
      </c>
      <c r="R67" t="str">
        <f t="shared" si="4"/>
        <v/>
      </c>
    </row>
    <row r="68" spans="10:18">
      <c r="J68" s="49"/>
      <c r="N68" t="str">
        <f t="shared" ref="N68:N131" si="5">IF(G68="","",_xlfn.IFS(LEN(G68)=14,"2",LEN(G68)=11,"1"))</f>
        <v/>
      </c>
      <c r="O68" t="str">
        <f t="shared" ref="O68:O131" si="6">" "&amp;RIGHT(LEFT(L68,3),2)</f>
        <v xml:space="preserve"> </v>
      </c>
      <c r="P68" t="str">
        <f t="shared" ref="P68:P131" si="7">IF(G68="","",TEXT(G68,"00000000000000"))</f>
        <v/>
      </c>
      <c r="Q68" t="str">
        <f t="shared" ref="Q68:Q131" si="8">TEXT(IF(F68="","",ROW(F68)-2),"00000")</f>
        <v/>
      </c>
      <c r="R68" t="str">
        <f t="shared" ref="R68:R131" si="9">_xlfn.IFS(J68="","",J68="PIX","45",J68="TED","03",J68="PIX QR CODE","47")</f>
        <v/>
      </c>
    </row>
    <row r="69" spans="10:18">
      <c r="J69" s="49"/>
      <c r="N69" t="str">
        <f t="shared" si="5"/>
        <v/>
      </c>
      <c r="O69" t="str">
        <f t="shared" si="6"/>
        <v xml:space="preserve"> </v>
      </c>
      <c r="P69" t="str">
        <f t="shared" si="7"/>
        <v/>
      </c>
      <c r="Q69" t="str">
        <f t="shared" si="8"/>
        <v/>
      </c>
      <c r="R69" t="str">
        <f t="shared" si="9"/>
        <v/>
      </c>
    </row>
    <row r="70" spans="10:18">
      <c r="J70" s="49"/>
      <c r="N70" t="str">
        <f t="shared" si="5"/>
        <v/>
      </c>
      <c r="O70" t="str">
        <f t="shared" si="6"/>
        <v xml:space="preserve"> </v>
      </c>
      <c r="P70" t="str">
        <f t="shared" si="7"/>
        <v/>
      </c>
      <c r="Q70" t="str">
        <f t="shared" si="8"/>
        <v/>
      </c>
      <c r="R70" t="str">
        <f t="shared" si="9"/>
        <v/>
      </c>
    </row>
    <row r="71" spans="10:18">
      <c r="J71" s="49"/>
      <c r="N71" t="str">
        <f t="shared" si="5"/>
        <v/>
      </c>
      <c r="O71" t="str">
        <f t="shared" si="6"/>
        <v xml:space="preserve"> </v>
      </c>
      <c r="P71" t="str">
        <f t="shared" si="7"/>
        <v/>
      </c>
      <c r="Q71" t="str">
        <f t="shared" si="8"/>
        <v/>
      </c>
      <c r="R71" t="str">
        <f t="shared" si="9"/>
        <v/>
      </c>
    </row>
    <row r="72" spans="10:18">
      <c r="J72" s="49"/>
      <c r="N72" t="str">
        <f t="shared" si="5"/>
        <v/>
      </c>
      <c r="O72" t="str">
        <f t="shared" si="6"/>
        <v xml:space="preserve"> </v>
      </c>
      <c r="P72" t="str">
        <f t="shared" si="7"/>
        <v/>
      </c>
      <c r="Q72" t="str">
        <f t="shared" si="8"/>
        <v/>
      </c>
      <c r="R72" t="str">
        <f t="shared" si="9"/>
        <v/>
      </c>
    </row>
    <row r="73" spans="10:18">
      <c r="J73" s="49"/>
      <c r="N73" t="str">
        <f t="shared" si="5"/>
        <v/>
      </c>
      <c r="O73" t="str">
        <f t="shared" si="6"/>
        <v xml:space="preserve"> </v>
      </c>
      <c r="P73" t="str">
        <f t="shared" si="7"/>
        <v/>
      </c>
      <c r="Q73" t="str">
        <f t="shared" si="8"/>
        <v/>
      </c>
      <c r="R73" t="str">
        <f t="shared" si="9"/>
        <v/>
      </c>
    </row>
    <row r="74" spans="10:18">
      <c r="J74" s="49"/>
      <c r="N74" t="str">
        <f t="shared" si="5"/>
        <v/>
      </c>
      <c r="O74" t="str">
        <f t="shared" si="6"/>
        <v xml:space="preserve"> </v>
      </c>
      <c r="P74" t="str">
        <f t="shared" si="7"/>
        <v/>
      </c>
      <c r="Q74" t="str">
        <f t="shared" si="8"/>
        <v/>
      </c>
      <c r="R74" t="str">
        <f t="shared" si="9"/>
        <v/>
      </c>
    </row>
    <row r="75" spans="10:18">
      <c r="J75" s="49"/>
      <c r="N75" t="str">
        <f t="shared" si="5"/>
        <v/>
      </c>
      <c r="O75" t="str">
        <f t="shared" si="6"/>
        <v xml:space="preserve"> </v>
      </c>
      <c r="P75" t="str">
        <f t="shared" si="7"/>
        <v/>
      </c>
      <c r="Q75" t="str">
        <f t="shared" si="8"/>
        <v/>
      </c>
      <c r="R75" t="str">
        <f t="shared" si="9"/>
        <v/>
      </c>
    </row>
    <row r="76" spans="10:18">
      <c r="J76" s="49"/>
      <c r="N76" t="str">
        <f t="shared" si="5"/>
        <v/>
      </c>
      <c r="O76" t="str">
        <f t="shared" si="6"/>
        <v xml:space="preserve"> </v>
      </c>
      <c r="P76" t="str">
        <f t="shared" si="7"/>
        <v/>
      </c>
      <c r="Q76" t="str">
        <f t="shared" si="8"/>
        <v/>
      </c>
      <c r="R76" t="str">
        <f t="shared" si="9"/>
        <v/>
      </c>
    </row>
    <row r="77" spans="10:18">
      <c r="J77" s="49"/>
      <c r="N77" t="str">
        <f t="shared" si="5"/>
        <v/>
      </c>
      <c r="O77" t="str">
        <f t="shared" si="6"/>
        <v xml:space="preserve"> </v>
      </c>
      <c r="P77" t="str">
        <f t="shared" si="7"/>
        <v/>
      </c>
      <c r="Q77" t="str">
        <f t="shared" si="8"/>
        <v/>
      </c>
      <c r="R77" t="str">
        <f t="shared" si="9"/>
        <v/>
      </c>
    </row>
    <row r="78" spans="10:18">
      <c r="J78" s="49"/>
      <c r="N78" t="str">
        <f t="shared" si="5"/>
        <v/>
      </c>
      <c r="O78" t="str">
        <f t="shared" si="6"/>
        <v xml:space="preserve"> </v>
      </c>
      <c r="P78" t="str">
        <f t="shared" si="7"/>
        <v/>
      </c>
      <c r="Q78" t="str">
        <f t="shared" si="8"/>
        <v/>
      </c>
      <c r="R78" t="str">
        <f t="shared" si="9"/>
        <v/>
      </c>
    </row>
    <row r="79" spans="10:18">
      <c r="J79" s="49"/>
      <c r="N79" t="str">
        <f t="shared" si="5"/>
        <v/>
      </c>
      <c r="O79" t="str">
        <f t="shared" si="6"/>
        <v xml:space="preserve"> </v>
      </c>
      <c r="P79" t="str">
        <f t="shared" si="7"/>
        <v/>
      </c>
      <c r="Q79" t="str">
        <f t="shared" si="8"/>
        <v/>
      </c>
      <c r="R79" t="str">
        <f t="shared" si="9"/>
        <v/>
      </c>
    </row>
    <row r="80" spans="10:18">
      <c r="J80" s="49"/>
      <c r="N80" t="str">
        <f t="shared" si="5"/>
        <v/>
      </c>
      <c r="O80" t="str">
        <f t="shared" si="6"/>
        <v xml:space="preserve"> </v>
      </c>
      <c r="P80" t="str">
        <f t="shared" si="7"/>
        <v/>
      </c>
      <c r="Q80" t="str">
        <f t="shared" si="8"/>
        <v/>
      </c>
      <c r="R80" t="str">
        <f t="shared" si="9"/>
        <v/>
      </c>
    </row>
    <row r="81" spans="10:18">
      <c r="J81" s="49"/>
      <c r="N81" t="str">
        <f t="shared" si="5"/>
        <v/>
      </c>
      <c r="O81" t="str">
        <f t="shared" si="6"/>
        <v xml:space="preserve"> </v>
      </c>
      <c r="P81" t="str">
        <f t="shared" si="7"/>
        <v/>
      </c>
      <c r="Q81" t="str">
        <f t="shared" si="8"/>
        <v/>
      </c>
      <c r="R81" t="str">
        <f t="shared" si="9"/>
        <v/>
      </c>
    </row>
    <row r="82" spans="10:18">
      <c r="J82" s="49"/>
      <c r="N82" t="str">
        <f t="shared" si="5"/>
        <v/>
      </c>
      <c r="O82" t="str">
        <f t="shared" si="6"/>
        <v xml:space="preserve"> </v>
      </c>
      <c r="P82" t="str">
        <f t="shared" si="7"/>
        <v/>
      </c>
      <c r="Q82" t="str">
        <f t="shared" si="8"/>
        <v/>
      </c>
      <c r="R82" t="str">
        <f t="shared" si="9"/>
        <v/>
      </c>
    </row>
    <row r="83" spans="10:18">
      <c r="J83" s="49"/>
      <c r="N83" t="str">
        <f t="shared" si="5"/>
        <v/>
      </c>
      <c r="O83" t="str">
        <f t="shared" si="6"/>
        <v xml:space="preserve"> </v>
      </c>
      <c r="P83" t="str">
        <f t="shared" si="7"/>
        <v/>
      </c>
      <c r="Q83" t="str">
        <f t="shared" si="8"/>
        <v/>
      </c>
      <c r="R83" t="str">
        <f t="shared" si="9"/>
        <v/>
      </c>
    </row>
    <row r="84" spans="10:18">
      <c r="J84" s="49"/>
      <c r="N84" t="str">
        <f t="shared" si="5"/>
        <v/>
      </c>
      <c r="O84" t="str">
        <f t="shared" si="6"/>
        <v xml:space="preserve"> </v>
      </c>
      <c r="P84" t="str">
        <f t="shared" si="7"/>
        <v/>
      </c>
      <c r="Q84" t="str">
        <f t="shared" si="8"/>
        <v/>
      </c>
      <c r="R84" t="str">
        <f t="shared" si="9"/>
        <v/>
      </c>
    </row>
    <row r="85" spans="10:18">
      <c r="J85" s="49"/>
      <c r="N85" t="str">
        <f t="shared" si="5"/>
        <v/>
      </c>
      <c r="O85" t="str">
        <f t="shared" si="6"/>
        <v xml:space="preserve"> </v>
      </c>
      <c r="P85" t="str">
        <f t="shared" si="7"/>
        <v/>
      </c>
      <c r="Q85" t="str">
        <f t="shared" si="8"/>
        <v/>
      </c>
      <c r="R85" t="str">
        <f t="shared" si="9"/>
        <v/>
      </c>
    </row>
    <row r="86" spans="10:18">
      <c r="J86" s="49"/>
      <c r="N86" t="str">
        <f t="shared" si="5"/>
        <v/>
      </c>
      <c r="O86" t="str">
        <f t="shared" si="6"/>
        <v xml:space="preserve"> </v>
      </c>
      <c r="P86" t="str">
        <f t="shared" si="7"/>
        <v/>
      </c>
      <c r="Q86" t="str">
        <f t="shared" si="8"/>
        <v/>
      </c>
      <c r="R86" t="str">
        <f t="shared" si="9"/>
        <v/>
      </c>
    </row>
    <row r="87" spans="10:18">
      <c r="J87" s="49"/>
      <c r="N87" t="str">
        <f t="shared" si="5"/>
        <v/>
      </c>
      <c r="O87" t="str">
        <f t="shared" si="6"/>
        <v xml:space="preserve"> </v>
      </c>
      <c r="P87" t="str">
        <f t="shared" si="7"/>
        <v/>
      </c>
      <c r="Q87" t="str">
        <f t="shared" si="8"/>
        <v/>
      </c>
      <c r="R87" t="str">
        <f t="shared" si="9"/>
        <v/>
      </c>
    </row>
    <row r="88" spans="10:18">
      <c r="J88" s="49"/>
      <c r="N88" t="str">
        <f t="shared" si="5"/>
        <v/>
      </c>
      <c r="O88" t="str">
        <f t="shared" si="6"/>
        <v xml:space="preserve"> </v>
      </c>
      <c r="P88" t="str">
        <f t="shared" si="7"/>
        <v/>
      </c>
      <c r="Q88" t="str">
        <f t="shared" si="8"/>
        <v/>
      </c>
      <c r="R88" t="str">
        <f t="shared" si="9"/>
        <v/>
      </c>
    </row>
    <row r="89" spans="10:18">
      <c r="J89" s="49"/>
      <c r="N89" t="str">
        <f t="shared" si="5"/>
        <v/>
      </c>
      <c r="O89" t="str">
        <f t="shared" si="6"/>
        <v xml:space="preserve"> </v>
      </c>
      <c r="P89" t="str">
        <f t="shared" si="7"/>
        <v/>
      </c>
      <c r="Q89" t="str">
        <f t="shared" si="8"/>
        <v/>
      </c>
      <c r="R89" t="str">
        <f t="shared" si="9"/>
        <v/>
      </c>
    </row>
    <row r="90" spans="10:18">
      <c r="J90" s="49"/>
      <c r="N90" t="str">
        <f t="shared" si="5"/>
        <v/>
      </c>
      <c r="O90" t="str">
        <f t="shared" si="6"/>
        <v xml:space="preserve"> </v>
      </c>
      <c r="P90" t="str">
        <f t="shared" si="7"/>
        <v/>
      </c>
      <c r="Q90" t="str">
        <f t="shared" si="8"/>
        <v/>
      </c>
      <c r="R90" t="str">
        <f t="shared" si="9"/>
        <v/>
      </c>
    </row>
    <row r="91" spans="10:18">
      <c r="J91" s="49"/>
      <c r="N91" t="str">
        <f t="shared" si="5"/>
        <v/>
      </c>
      <c r="O91" t="str">
        <f t="shared" si="6"/>
        <v xml:space="preserve"> </v>
      </c>
      <c r="P91" t="str">
        <f t="shared" si="7"/>
        <v/>
      </c>
      <c r="Q91" t="str">
        <f t="shared" si="8"/>
        <v/>
      </c>
      <c r="R91" t="str">
        <f t="shared" si="9"/>
        <v/>
      </c>
    </row>
    <row r="92" spans="10:18">
      <c r="J92" s="49"/>
      <c r="N92" t="str">
        <f t="shared" si="5"/>
        <v/>
      </c>
      <c r="O92" t="str">
        <f t="shared" si="6"/>
        <v xml:space="preserve"> </v>
      </c>
      <c r="P92" t="str">
        <f t="shared" si="7"/>
        <v/>
      </c>
      <c r="Q92" t="str">
        <f t="shared" si="8"/>
        <v/>
      </c>
      <c r="R92" t="str">
        <f t="shared" si="9"/>
        <v/>
      </c>
    </row>
    <row r="93" spans="10:18">
      <c r="J93" s="49"/>
      <c r="N93" t="str">
        <f t="shared" si="5"/>
        <v/>
      </c>
      <c r="O93" t="str">
        <f t="shared" si="6"/>
        <v xml:space="preserve"> </v>
      </c>
      <c r="P93" t="str">
        <f t="shared" si="7"/>
        <v/>
      </c>
      <c r="Q93" t="str">
        <f t="shared" si="8"/>
        <v/>
      </c>
      <c r="R93" t="str">
        <f t="shared" si="9"/>
        <v/>
      </c>
    </row>
    <row r="94" spans="10:18">
      <c r="J94" s="49"/>
      <c r="N94" t="str">
        <f t="shared" si="5"/>
        <v/>
      </c>
      <c r="O94" t="str">
        <f t="shared" si="6"/>
        <v xml:space="preserve"> </v>
      </c>
      <c r="P94" t="str">
        <f t="shared" si="7"/>
        <v/>
      </c>
      <c r="Q94" t="str">
        <f t="shared" si="8"/>
        <v/>
      </c>
      <c r="R94" t="str">
        <f t="shared" si="9"/>
        <v/>
      </c>
    </row>
    <row r="95" spans="10:18">
      <c r="J95" s="49"/>
      <c r="N95" t="str">
        <f t="shared" si="5"/>
        <v/>
      </c>
      <c r="O95" t="str">
        <f t="shared" si="6"/>
        <v xml:space="preserve"> </v>
      </c>
      <c r="P95" t="str">
        <f t="shared" si="7"/>
        <v/>
      </c>
      <c r="Q95" t="str">
        <f t="shared" si="8"/>
        <v/>
      </c>
      <c r="R95" t="str">
        <f t="shared" si="9"/>
        <v/>
      </c>
    </row>
    <row r="96" spans="10:18">
      <c r="J96" s="49"/>
      <c r="N96" t="str">
        <f t="shared" si="5"/>
        <v/>
      </c>
      <c r="O96" t="str">
        <f t="shared" si="6"/>
        <v xml:space="preserve"> </v>
      </c>
      <c r="P96" t="str">
        <f t="shared" si="7"/>
        <v/>
      </c>
      <c r="Q96" t="str">
        <f t="shared" si="8"/>
        <v/>
      </c>
      <c r="R96" t="str">
        <f t="shared" si="9"/>
        <v/>
      </c>
    </row>
    <row r="97" spans="10:18">
      <c r="J97" s="49"/>
      <c r="N97" t="str">
        <f t="shared" si="5"/>
        <v/>
      </c>
      <c r="O97" t="str">
        <f t="shared" si="6"/>
        <v xml:space="preserve"> </v>
      </c>
      <c r="P97" t="str">
        <f t="shared" si="7"/>
        <v/>
      </c>
      <c r="Q97" t="str">
        <f t="shared" si="8"/>
        <v/>
      </c>
      <c r="R97" t="str">
        <f t="shared" si="9"/>
        <v/>
      </c>
    </row>
    <row r="98" spans="10:18">
      <c r="J98" s="49"/>
      <c r="N98" t="str">
        <f t="shared" si="5"/>
        <v/>
      </c>
      <c r="O98" t="str">
        <f t="shared" si="6"/>
        <v xml:space="preserve"> </v>
      </c>
      <c r="P98" t="str">
        <f t="shared" si="7"/>
        <v/>
      </c>
      <c r="Q98" t="str">
        <f t="shared" si="8"/>
        <v/>
      </c>
      <c r="R98" t="str">
        <f t="shared" si="9"/>
        <v/>
      </c>
    </row>
    <row r="99" spans="10:18">
      <c r="J99" s="49"/>
      <c r="N99" t="str">
        <f t="shared" si="5"/>
        <v/>
      </c>
      <c r="O99" t="str">
        <f t="shared" si="6"/>
        <v xml:space="preserve"> </v>
      </c>
      <c r="P99" t="str">
        <f t="shared" si="7"/>
        <v/>
      </c>
      <c r="Q99" t="str">
        <f t="shared" si="8"/>
        <v/>
      </c>
      <c r="R99" t="str">
        <f t="shared" si="9"/>
        <v/>
      </c>
    </row>
    <row r="100" spans="10:18">
      <c r="J100" s="49"/>
      <c r="N100" t="str">
        <f t="shared" si="5"/>
        <v/>
      </c>
      <c r="O100" t="str">
        <f t="shared" si="6"/>
        <v xml:space="preserve"> </v>
      </c>
      <c r="P100" t="str">
        <f t="shared" si="7"/>
        <v/>
      </c>
      <c r="Q100" t="str">
        <f t="shared" si="8"/>
        <v/>
      </c>
      <c r="R100" t="str">
        <f t="shared" si="9"/>
        <v/>
      </c>
    </row>
    <row r="101" spans="10:18">
      <c r="J101" s="49"/>
      <c r="N101" t="str">
        <f t="shared" si="5"/>
        <v/>
      </c>
      <c r="O101" t="str">
        <f t="shared" si="6"/>
        <v xml:space="preserve"> </v>
      </c>
      <c r="P101" t="str">
        <f t="shared" si="7"/>
        <v/>
      </c>
      <c r="Q101" t="str">
        <f t="shared" si="8"/>
        <v/>
      </c>
      <c r="R101" t="str">
        <f t="shared" si="9"/>
        <v/>
      </c>
    </row>
    <row r="102" spans="10:18">
      <c r="J102" s="49"/>
      <c r="N102" t="str">
        <f t="shared" si="5"/>
        <v/>
      </c>
      <c r="O102" t="str">
        <f t="shared" si="6"/>
        <v xml:space="preserve"> </v>
      </c>
      <c r="P102" t="str">
        <f t="shared" si="7"/>
        <v/>
      </c>
      <c r="Q102" t="str">
        <f t="shared" si="8"/>
        <v/>
      </c>
      <c r="R102" t="str">
        <f t="shared" si="9"/>
        <v/>
      </c>
    </row>
    <row r="103" spans="10:18">
      <c r="J103" s="49"/>
      <c r="N103" t="str">
        <f t="shared" si="5"/>
        <v/>
      </c>
      <c r="O103" t="str">
        <f t="shared" si="6"/>
        <v xml:space="preserve"> </v>
      </c>
      <c r="P103" t="str">
        <f t="shared" si="7"/>
        <v/>
      </c>
      <c r="Q103" t="str">
        <f t="shared" si="8"/>
        <v/>
      </c>
      <c r="R103" t="str">
        <f t="shared" si="9"/>
        <v/>
      </c>
    </row>
    <row r="104" spans="10:18">
      <c r="J104" s="49"/>
      <c r="N104" t="str">
        <f t="shared" si="5"/>
        <v/>
      </c>
      <c r="O104" t="str">
        <f t="shared" si="6"/>
        <v xml:space="preserve"> </v>
      </c>
      <c r="P104" t="str">
        <f t="shared" si="7"/>
        <v/>
      </c>
      <c r="Q104" t="str">
        <f t="shared" si="8"/>
        <v/>
      </c>
      <c r="R104" t="str">
        <f t="shared" si="9"/>
        <v/>
      </c>
    </row>
    <row r="105" spans="10:18">
      <c r="J105" s="49"/>
      <c r="N105" t="str">
        <f t="shared" si="5"/>
        <v/>
      </c>
      <c r="O105" t="str">
        <f t="shared" si="6"/>
        <v xml:space="preserve"> </v>
      </c>
      <c r="P105" t="str">
        <f t="shared" si="7"/>
        <v/>
      </c>
      <c r="Q105" t="str">
        <f t="shared" si="8"/>
        <v/>
      </c>
      <c r="R105" t="str">
        <f t="shared" si="9"/>
        <v/>
      </c>
    </row>
    <row r="106" spans="10:18">
      <c r="J106" s="49"/>
      <c r="N106" t="str">
        <f t="shared" si="5"/>
        <v/>
      </c>
      <c r="O106" t="str">
        <f t="shared" si="6"/>
        <v xml:space="preserve"> </v>
      </c>
      <c r="P106" t="str">
        <f t="shared" si="7"/>
        <v/>
      </c>
      <c r="Q106" t="str">
        <f t="shared" si="8"/>
        <v/>
      </c>
      <c r="R106" t="str">
        <f t="shared" si="9"/>
        <v/>
      </c>
    </row>
    <row r="107" spans="10:18">
      <c r="J107" s="49"/>
      <c r="N107" t="str">
        <f t="shared" si="5"/>
        <v/>
      </c>
      <c r="O107" t="str">
        <f t="shared" si="6"/>
        <v xml:space="preserve"> </v>
      </c>
      <c r="P107" t="str">
        <f t="shared" si="7"/>
        <v/>
      </c>
      <c r="Q107" t="str">
        <f t="shared" si="8"/>
        <v/>
      </c>
      <c r="R107" t="str">
        <f t="shared" si="9"/>
        <v/>
      </c>
    </row>
    <row r="108" spans="10:18">
      <c r="J108" s="49"/>
      <c r="N108" t="str">
        <f t="shared" si="5"/>
        <v/>
      </c>
      <c r="O108" t="str">
        <f t="shared" si="6"/>
        <v xml:space="preserve"> </v>
      </c>
      <c r="P108" t="str">
        <f t="shared" si="7"/>
        <v/>
      </c>
      <c r="Q108" t="str">
        <f t="shared" si="8"/>
        <v/>
      </c>
      <c r="R108" t="str">
        <f t="shared" si="9"/>
        <v/>
      </c>
    </row>
    <row r="109" spans="10:18">
      <c r="J109" s="49"/>
      <c r="N109" t="str">
        <f t="shared" si="5"/>
        <v/>
      </c>
      <c r="O109" t="str">
        <f t="shared" si="6"/>
        <v xml:space="preserve"> </v>
      </c>
      <c r="P109" t="str">
        <f t="shared" si="7"/>
        <v/>
      </c>
      <c r="Q109" t="str">
        <f t="shared" si="8"/>
        <v/>
      </c>
      <c r="R109" t="str">
        <f t="shared" si="9"/>
        <v/>
      </c>
    </row>
    <row r="110" spans="10:18">
      <c r="J110" s="49"/>
      <c r="N110" t="str">
        <f t="shared" si="5"/>
        <v/>
      </c>
      <c r="O110" t="str">
        <f t="shared" si="6"/>
        <v xml:space="preserve"> </v>
      </c>
      <c r="P110" t="str">
        <f t="shared" si="7"/>
        <v/>
      </c>
      <c r="Q110" t="str">
        <f t="shared" si="8"/>
        <v/>
      </c>
      <c r="R110" t="str">
        <f t="shared" si="9"/>
        <v/>
      </c>
    </row>
    <row r="111" spans="10:18">
      <c r="J111" s="49"/>
      <c r="N111" t="str">
        <f t="shared" si="5"/>
        <v/>
      </c>
      <c r="O111" t="str">
        <f t="shared" si="6"/>
        <v xml:space="preserve"> </v>
      </c>
      <c r="P111" t="str">
        <f t="shared" si="7"/>
        <v/>
      </c>
      <c r="Q111" t="str">
        <f t="shared" si="8"/>
        <v/>
      </c>
      <c r="R111" t="str">
        <f t="shared" si="9"/>
        <v/>
      </c>
    </row>
    <row r="112" spans="10:18">
      <c r="J112" s="49"/>
      <c r="N112" t="str">
        <f t="shared" si="5"/>
        <v/>
      </c>
      <c r="O112" t="str">
        <f t="shared" si="6"/>
        <v xml:space="preserve"> </v>
      </c>
      <c r="P112" t="str">
        <f t="shared" si="7"/>
        <v/>
      </c>
      <c r="Q112" t="str">
        <f t="shared" si="8"/>
        <v/>
      </c>
      <c r="R112" t="str">
        <f t="shared" si="9"/>
        <v/>
      </c>
    </row>
    <row r="113" spans="10:18">
      <c r="J113" s="49"/>
      <c r="N113" t="str">
        <f t="shared" si="5"/>
        <v/>
      </c>
      <c r="O113" t="str">
        <f t="shared" si="6"/>
        <v xml:space="preserve"> </v>
      </c>
      <c r="P113" t="str">
        <f t="shared" si="7"/>
        <v/>
      </c>
      <c r="Q113" t="str">
        <f t="shared" si="8"/>
        <v/>
      </c>
      <c r="R113" t="str">
        <f t="shared" si="9"/>
        <v/>
      </c>
    </row>
    <row r="114" spans="10:18">
      <c r="J114" s="49"/>
      <c r="N114" t="str">
        <f t="shared" si="5"/>
        <v/>
      </c>
      <c r="O114" t="str">
        <f t="shared" si="6"/>
        <v xml:space="preserve"> </v>
      </c>
      <c r="P114" t="str">
        <f t="shared" si="7"/>
        <v/>
      </c>
      <c r="Q114" t="str">
        <f t="shared" si="8"/>
        <v/>
      </c>
      <c r="R114" t="str">
        <f t="shared" si="9"/>
        <v/>
      </c>
    </row>
    <row r="115" spans="10:18">
      <c r="J115" s="49"/>
      <c r="N115" t="str">
        <f t="shared" si="5"/>
        <v/>
      </c>
      <c r="O115" t="str">
        <f t="shared" si="6"/>
        <v xml:space="preserve"> </v>
      </c>
      <c r="P115" t="str">
        <f t="shared" si="7"/>
        <v/>
      </c>
      <c r="Q115" t="str">
        <f t="shared" si="8"/>
        <v/>
      </c>
      <c r="R115" t="str">
        <f t="shared" si="9"/>
        <v/>
      </c>
    </row>
    <row r="116" spans="10:18">
      <c r="J116" s="49"/>
      <c r="N116" t="str">
        <f t="shared" si="5"/>
        <v/>
      </c>
      <c r="O116" t="str">
        <f t="shared" si="6"/>
        <v xml:space="preserve"> </v>
      </c>
      <c r="P116" t="str">
        <f t="shared" si="7"/>
        <v/>
      </c>
      <c r="Q116" t="str">
        <f t="shared" si="8"/>
        <v/>
      </c>
      <c r="R116" t="str">
        <f t="shared" si="9"/>
        <v/>
      </c>
    </row>
    <row r="117" spans="10:18">
      <c r="J117" s="49"/>
      <c r="N117" t="str">
        <f t="shared" si="5"/>
        <v/>
      </c>
      <c r="O117" t="str">
        <f t="shared" si="6"/>
        <v xml:space="preserve"> </v>
      </c>
      <c r="P117" t="str">
        <f t="shared" si="7"/>
        <v/>
      </c>
      <c r="Q117" t="str">
        <f t="shared" si="8"/>
        <v/>
      </c>
      <c r="R117" t="str">
        <f t="shared" si="9"/>
        <v/>
      </c>
    </row>
    <row r="118" spans="10:18">
      <c r="J118" s="49"/>
      <c r="N118" t="str">
        <f t="shared" si="5"/>
        <v/>
      </c>
      <c r="O118" t="str">
        <f t="shared" si="6"/>
        <v xml:space="preserve"> </v>
      </c>
      <c r="P118" t="str">
        <f t="shared" si="7"/>
        <v/>
      </c>
      <c r="Q118" t="str">
        <f t="shared" si="8"/>
        <v/>
      </c>
      <c r="R118" t="str">
        <f t="shared" si="9"/>
        <v/>
      </c>
    </row>
    <row r="119" spans="10:18">
      <c r="J119" s="49"/>
      <c r="N119" t="str">
        <f t="shared" si="5"/>
        <v/>
      </c>
      <c r="O119" t="str">
        <f t="shared" si="6"/>
        <v xml:space="preserve"> </v>
      </c>
      <c r="P119" t="str">
        <f t="shared" si="7"/>
        <v/>
      </c>
      <c r="Q119" t="str">
        <f t="shared" si="8"/>
        <v/>
      </c>
      <c r="R119" t="str">
        <f t="shared" si="9"/>
        <v/>
      </c>
    </row>
    <row r="120" spans="10:18">
      <c r="J120" s="49"/>
      <c r="N120" t="str">
        <f t="shared" si="5"/>
        <v/>
      </c>
      <c r="O120" t="str">
        <f t="shared" si="6"/>
        <v xml:space="preserve"> </v>
      </c>
      <c r="P120" t="str">
        <f t="shared" si="7"/>
        <v/>
      </c>
      <c r="Q120" t="str">
        <f t="shared" si="8"/>
        <v/>
      </c>
      <c r="R120" t="str">
        <f t="shared" si="9"/>
        <v/>
      </c>
    </row>
    <row r="121" spans="10:18">
      <c r="J121" s="49"/>
      <c r="N121" t="str">
        <f t="shared" si="5"/>
        <v/>
      </c>
      <c r="O121" t="str">
        <f t="shared" si="6"/>
        <v xml:space="preserve"> </v>
      </c>
      <c r="P121" t="str">
        <f t="shared" si="7"/>
        <v/>
      </c>
      <c r="Q121" t="str">
        <f t="shared" si="8"/>
        <v/>
      </c>
      <c r="R121" t="str">
        <f t="shared" si="9"/>
        <v/>
      </c>
    </row>
    <row r="122" spans="10:18">
      <c r="J122" s="49"/>
      <c r="N122" t="str">
        <f t="shared" si="5"/>
        <v/>
      </c>
      <c r="O122" t="str">
        <f t="shared" si="6"/>
        <v xml:space="preserve"> </v>
      </c>
      <c r="P122" t="str">
        <f t="shared" si="7"/>
        <v/>
      </c>
      <c r="Q122" t="str">
        <f t="shared" si="8"/>
        <v/>
      </c>
      <c r="R122" t="str">
        <f t="shared" si="9"/>
        <v/>
      </c>
    </row>
    <row r="123" spans="10:18">
      <c r="J123" s="49"/>
      <c r="N123" t="str">
        <f t="shared" si="5"/>
        <v/>
      </c>
      <c r="O123" t="str">
        <f t="shared" si="6"/>
        <v xml:space="preserve"> </v>
      </c>
      <c r="P123" t="str">
        <f t="shared" si="7"/>
        <v/>
      </c>
      <c r="Q123" t="str">
        <f t="shared" si="8"/>
        <v/>
      </c>
      <c r="R123" t="str">
        <f t="shared" si="9"/>
        <v/>
      </c>
    </row>
    <row r="124" spans="10:18">
      <c r="J124" s="49"/>
      <c r="N124" t="str">
        <f t="shared" si="5"/>
        <v/>
      </c>
      <c r="O124" t="str">
        <f t="shared" si="6"/>
        <v xml:space="preserve"> </v>
      </c>
      <c r="P124" t="str">
        <f t="shared" si="7"/>
        <v/>
      </c>
      <c r="Q124" t="str">
        <f t="shared" si="8"/>
        <v/>
      </c>
      <c r="R124" t="str">
        <f t="shared" si="9"/>
        <v/>
      </c>
    </row>
    <row r="125" spans="10:18">
      <c r="J125" s="49"/>
      <c r="N125" t="str">
        <f t="shared" si="5"/>
        <v/>
      </c>
      <c r="O125" t="str">
        <f t="shared" si="6"/>
        <v xml:space="preserve"> </v>
      </c>
      <c r="P125" t="str">
        <f t="shared" si="7"/>
        <v/>
      </c>
      <c r="Q125" t="str">
        <f t="shared" si="8"/>
        <v/>
      </c>
      <c r="R125" t="str">
        <f t="shared" si="9"/>
        <v/>
      </c>
    </row>
    <row r="126" spans="10:18">
      <c r="J126" s="49"/>
      <c r="N126" t="str">
        <f t="shared" si="5"/>
        <v/>
      </c>
      <c r="O126" t="str">
        <f t="shared" si="6"/>
        <v xml:space="preserve"> </v>
      </c>
      <c r="P126" t="str">
        <f t="shared" si="7"/>
        <v/>
      </c>
      <c r="Q126" t="str">
        <f t="shared" si="8"/>
        <v/>
      </c>
      <c r="R126" t="str">
        <f t="shared" si="9"/>
        <v/>
      </c>
    </row>
    <row r="127" spans="10:18">
      <c r="J127" s="49"/>
      <c r="N127" t="str">
        <f t="shared" si="5"/>
        <v/>
      </c>
      <c r="O127" t="str">
        <f t="shared" si="6"/>
        <v xml:space="preserve"> </v>
      </c>
      <c r="P127" t="str">
        <f t="shared" si="7"/>
        <v/>
      </c>
      <c r="Q127" t="str">
        <f t="shared" si="8"/>
        <v/>
      </c>
      <c r="R127" t="str">
        <f t="shared" si="9"/>
        <v/>
      </c>
    </row>
    <row r="128" spans="10:18">
      <c r="J128" s="49"/>
      <c r="N128" t="str">
        <f t="shared" si="5"/>
        <v/>
      </c>
      <c r="O128" t="str">
        <f t="shared" si="6"/>
        <v xml:space="preserve"> </v>
      </c>
      <c r="P128" t="str">
        <f t="shared" si="7"/>
        <v/>
      </c>
      <c r="Q128" t="str">
        <f t="shared" si="8"/>
        <v/>
      </c>
      <c r="R128" t="str">
        <f t="shared" si="9"/>
        <v/>
      </c>
    </row>
    <row r="129" spans="10:18">
      <c r="J129" s="49"/>
      <c r="N129" t="str">
        <f t="shared" si="5"/>
        <v/>
      </c>
      <c r="O129" t="str">
        <f t="shared" si="6"/>
        <v xml:space="preserve"> </v>
      </c>
      <c r="P129" t="str">
        <f t="shared" si="7"/>
        <v/>
      </c>
      <c r="Q129" t="str">
        <f t="shared" si="8"/>
        <v/>
      </c>
      <c r="R129" t="str">
        <f t="shared" si="9"/>
        <v/>
      </c>
    </row>
    <row r="130" spans="10:18">
      <c r="J130" s="49"/>
      <c r="N130" t="str">
        <f t="shared" si="5"/>
        <v/>
      </c>
      <c r="O130" t="str">
        <f t="shared" si="6"/>
        <v xml:space="preserve"> </v>
      </c>
      <c r="P130" t="str">
        <f t="shared" si="7"/>
        <v/>
      </c>
      <c r="Q130" t="str">
        <f t="shared" si="8"/>
        <v/>
      </c>
      <c r="R130" t="str">
        <f t="shared" si="9"/>
        <v/>
      </c>
    </row>
    <row r="131" spans="10:18">
      <c r="J131" s="49"/>
      <c r="N131" t="str">
        <f t="shared" si="5"/>
        <v/>
      </c>
      <c r="O131" t="str">
        <f t="shared" si="6"/>
        <v xml:space="preserve"> </v>
      </c>
      <c r="P131" t="str">
        <f t="shared" si="7"/>
        <v/>
      </c>
      <c r="Q131" t="str">
        <f t="shared" si="8"/>
        <v/>
      </c>
      <c r="R131" t="str">
        <f t="shared" si="9"/>
        <v/>
      </c>
    </row>
    <row r="132" spans="10:18">
      <c r="J132" s="49"/>
      <c r="N132" t="str">
        <f t="shared" ref="N132:N195" si="10">IF(G132="","",_xlfn.IFS(LEN(G132)=14,"2",LEN(G132)=11,"1"))</f>
        <v/>
      </c>
      <c r="O132" t="str">
        <f t="shared" ref="O132:O195" si="11">" "&amp;RIGHT(LEFT(L132,3),2)</f>
        <v xml:space="preserve"> </v>
      </c>
      <c r="P132" t="str">
        <f t="shared" ref="P132:P195" si="12">IF(G132="","",TEXT(G132,"00000000000000"))</f>
        <v/>
      </c>
      <c r="Q132" t="str">
        <f t="shared" ref="Q132:Q195" si="13">TEXT(IF(F132="","",ROW(F132)-2),"00000")</f>
        <v/>
      </c>
      <c r="R132" t="str">
        <f t="shared" ref="R132:R195" si="14">_xlfn.IFS(J132="","",J132="PIX","45",J132="TED","03",J132="PIX QR CODE","47")</f>
        <v/>
      </c>
    </row>
    <row r="133" spans="10:18">
      <c r="J133" s="49"/>
      <c r="N133" t="str">
        <f t="shared" si="10"/>
        <v/>
      </c>
      <c r="O133" t="str">
        <f t="shared" si="11"/>
        <v xml:space="preserve"> </v>
      </c>
      <c r="P133" t="str">
        <f t="shared" si="12"/>
        <v/>
      </c>
      <c r="Q133" t="str">
        <f t="shared" si="13"/>
        <v/>
      </c>
      <c r="R133" t="str">
        <f t="shared" si="14"/>
        <v/>
      </c>
    </row>
    <row r="134" spans="10:18">
      <c r="J134" s="49"/>
      <c r="N134" t="str">
        <f t="shared" si="10"/>
        <v/>
      </c>
      <c r="O134" t="str">
        <f t="shared" si="11"/>
        <v xml:space="preserve"> </v>
      </c>
      <c r="P134" t="str">
        <f t="shared" si="12"/>
        <v/>
      </c>
      <c r="Q134" t="str">
        <f t="shared" si="13"/>
        <v/>
      </c>
      <c r="R134" t="str">
        <f t="shared" si="14"/>
        <v/>
      </c>
    </row>
    <row r="135" spans="10:18">
      <c r="J135" s="49"/>
      <c r="N135" t="str">
        <f t="shared" si="10"/>
        <v/>
      </c>
      <c r="O135" t="str">
        <f t="shared" si="11"/>
        <v xml:space="preserve"> </v>
      </c>
      <c r="P135" t="str">
        <f t="shared" si="12"/>
        <v/>
      </c>
      <c r="Q135" t="str">
        <f t="shared" si="13"/>
        <v/>
      </c>
      <c r="R135" t="str">
        <f t="shared" si="14"/>
        <v/>
      </c>
    </row>
    <row r="136" spans="10:18">
      <c r="J136" s="49"/>
      <c r="N136" t="str">
        <f t="shared" si="10"/>
        <v/>
      </c>
      <c r="O136" t="str">
        <f t="shared" si="11"/>
        <v xml:space="preserve"> </v>
      </c>
      <c r="P136" t="str">
        <f t="shared" si="12"/>
        <v/>
      </c>
      <c r="Q136" t="str">
        <f t="shared" si="13"/>
        <v/>
      </c>
      <c r="R136" t="str">
        <f t="shared" si="14"/>
        <v/>
      </c>
    </row>
    <row r="137" spans="10:18">
      <c r="J137" s="49"/>
      <c r="N137" t="str">
        <f t="shared" si="10"/>
        <v/>
      </c>
      <c r="O137" t="str">
        <f t="shared" si="11"/>
        <v xml:space="preserve"> </v>
      </c>
      <c r="P137" t="str">
        <f t="shared" si="12"/>
        <v/>
      </c>
      <c r="Q137" t="str">
        <f t="shared" si="13"/>
        <v/>
      </c>
      <c r="R137" t="str">
        <f t="shared" si="14"/>
        <v/>
      </c>
    </row>
    <row r="138" spans="10:18">
      <c r="J138" s="49"/>
      <c r="N138" t="str">
        <f t="shared" si="10"/>
        <v/>
      </c>
      <c r="O138" t="str">
        <f t="shared" si="11"/>
        <v xml:space="preserve"> </v>
      </c>
      <c r="P138" t="str">
        <f t="shared" si="12"/>
        <v/>
      </c>
      <c r="Q138" t="str">
        <f t="shared" si="13"/>
        <v/>
      </c>
      <c r="R138" t="str">
        <f t="shared" si="14"/>
        <v/>
      </c>
    </row>
    <row r="139" spans="10:18">
      <c r="J139" s="49"/>
      <c r="N139" t="str">
        <f t="shared" si="10"/>
        <v/>
      </c>
      <c r="O139" t="str">
        <f t="shared" si="11"/>
        <v xml:space="preserve"> </v>
      </c>
      <c r="P139" t="str">
        <f t="shared" si="12"/>
        <v/>
      </c>
      <c r="Q139" t="str">
        <f t="shared" si="13"/>
        <v/>
      </c>
      <c r="R139" t="str">
        <f t="shared" si="14"/>
        <v/>
      </c>
    </row>
    <row r="140" spans="10:18">
      <c r="J140" s="49"/>
      <c r="N140" t="str">
        <f t="shared" si="10"/>
        <v/>
      </c>
      <c r="O140" t="str">
        <f t="shared" si="11"/>
        <v xml:space="preserve"> </v>
      </c>
      <c r="P140" t="str">
        <f t="shared" si="12"/>
        <v/>
      </c>
      <c r="Q140" t="str">
        <f t="shared" si="13"/>
        <v/>
      </c>
      <c r="R140" t="str">
        <f t="shared" si="14"/>
        <v/>
      </c>
    </row>
    <row r="141" spans="10:18">
      <c r="J141" s="49"/>
      <c r="N141" t="str">
        <f t="shared" si="10"/>
        <v/>
      </c>
      <c r="O141" t="str">
        <f t="shared" si="11"/>
        <v xml:space="preserve"> </v>
      </c>
      <c r="P141" t="str">
        <f t="shared" si="12"/>
        <v/>
      </c>
      <c r="Q141" t="str">
        <f t="shared" si="13"/>
        <v/>
      </c>
      <c r="R141" t="str">
        <f t="shared" si="14"/>
        <v/>
      </c>
    </row>
    <row r="142" spans="10:18">
      <c r="J142" s="49"/>
      <c r="N142" t="str">
        <f t="shared" si="10"/>
        <v/>
      </c>
      <c r="O142" t="str">
        <f t="shared" si="11"/>
        <v xml:space="preserve"> </v>
      </c>
      <c r="P142" t="str">
        <f t="shared" si="12"/>
        <v/>
      </c>
      <c r="Q142" t="str">
        <f t="shared" si="13"/>
        <v/>
      </c>
      <c r="R142" t="str">
        <f t="shared" si="14"/>
        <v/>
      </c>
    </row>
    <row r="143" spans="10:18">
      <c r="J143" s="49"/>
      <c r="N143" t="str">
        <f t="shared" si="10"/>
        <v/>
      </c>
      <c r="O143" t="str">
        <f t="shared" si="11"/>
        <v xml:space="preserve"> </v>
      </c>
      <c r="P143" t="str">
        <f t="shared" si="12"/>
        <v/>
      </c>
      <c r="Q143" t="str">
        <f t="shared" si="13"/>
        <v/>
      </c>
      <c r="R143" t="str">
        <f t="shared" si="14"/>
        <v/>
      </c>
    </row>
    <row r="144" spans="10:18">
      <c r="J144" s="49"/>
      <c r="N144" t="str">
        <f t="shared" si="10"/>
        <v/>
      </c>
      <c r="O144" t="str">
        <f t="shared" si="11"/>
        <v xml:space="preserve"> </v>
      </c>
      <c r="P144" t="str">
        <f t="shared" si="12"/>
        <v/>
      </c>
      <c r="Q144" t="str">
        <f t="shared" si="13"/>
        <v/>
      </c>
      <c r="R144" t="str">
        <f t="shared" si="14"/>
        <v/>
      </c>
    </row>
    <row r="145" spans="10:18">
      <c r="J145" s="49"/>
      <c r="N145" t="str">
        <f t="shared" si="10"/>
        <v/>
      </c>
      <c r="O145" t="str">
        <f t="shared" si="11"/>
        <v xml:space="preserve"> </v>
      </c>
      <c r="P145" t="str">
        <f t="shared" si="12"/>
        <v/>
      </c>
      <c r="Q145" t="str">
        <f t="shared" si="13"/>
        <v/>
      </c>
      <c r="R145" t="str">
        <f t="shared" si="14"/>
        <v/>
      </c>
    </row>
    <row r="146" spans="10:18">
      <c r="J146" s="49"/>
      <c r="N146" t="str">
        <f t="shared" si="10"/>
        <v/>
      </c>
      <c r="O146" t="str">
        <f t="shared" si="11"/>
        <v xml:space="preserve"> </v>
      </c>
      <c r="P146" t="str">
        <f t="shared" si="12"/>
        <v/>
      </c>
      <c r="Q146" t="str">
        <f t="shared" si="13"/>
        <v/>
      </c>
      <c r="R146" t="str">
        <f t="shared" si="14"/>
        <v/>
      </c>
    </row>
    <row r="147" spans="10:18">
      <c r="J147" s="49"/>
      <c r="N147" t="str">
        <f t="shared" si="10"/>
        <v/>
      </c>
      <c r="O147" t="str">
        <f t="shared" si="11"/>
        <v xml:space="preserve"> </v>
      </c>
      <c r="P147" t="str">
        <f t="shared" si="12"/>
        <v/>
      </c>
      <c r="Q147" t="str">
        <f t="shared" si="13"/>
        <v/>
      </c>
      <c r="R147" t="str">
        <f t="shared" si="14"/>
        <v/>
      </c>
    </row>
    <row r="148" spans="10:18">
      <c r="J148" s="49"/>
      <c r="N148" t="str">
        <f t="shared" si="10"/>
        <v/>
      </c>
      <c r="O148" t="str">
        <f t="shared" si="11"/>
        <v xml:space="preserve"> </v>
      </c>
      <c r="P148" t="str">
        <f t="shared" si="12"/>
        <v/>
      </c>
      <c r="Q148" t="str">
        <f t="shared" si="13"/>
        <v/>
      </c>
      <c r="R148" t="str">
        <f t="shared" si="14"/>
        <v/>
      </c>
    </row>
    <row r="149" spans="10:18">
      <c r="J149" s="49"/>
      <c r="N149" t="str">
        <f t="shared" si="10"/>
        <v/>
      </c>
      <c r="O149" t="str">
        <f t="shared" si="11"/>
        <v xml:space="preserve"> </v>
      </c>
      <c r="P149" t="str">
        <f t="shared" si="12"/>
        <v/>
      </c>
      <c r="Q149" t="str">
        <f t="shared" si="13"/>
        <v/>
      </c>
      <c r="R149" t="str">
        <f t="shared" si="14"/>
        <v/>
      </c>
    </row>
    <row r="150" spans="10:18">
      <c r="J150" s="49"/>
      <c r="N150" t="str">
        <f t="shared" si="10"/>
        <v/>
      </c>
      <c r="O150" t="str">
        <f t="shared" si="11"/>
        <v xml:space="preserve"> </v>
      </c>
      <c r="P150" t="str">
        <f t="shared" si="12"/>
        <v/>
      </c>
      <c r="Q150" t="str">
        <f t="shared" si="13"/>
        <v/>
      </c>
      <c r="R150" t="str">
        <f t="shared" si="14"/>
        <v/>
      </c>
    </row>
    <row r="151" spans="10:18">
      <c r="J151" s="49"/>
      <c r="N151" t="str">
        <f t="shared" si="10"/>
        <v/>
      </c>
      <c r="O151" t="str">
        <f t="shared" si="11"/>
        <v xml:space="preserve"> </v>
      </c>
      <c r="P151" t="str">
        <f t="shared" si="12"/>
        <v/>
      </c>
      <c r="Q151" t="str">
        <f t="shared" si="13"/>
        <v/>
      </c>
      <c r="R151" t="str">
        <f t="shared" si="14"/>
        <v/>
      </c>
    </row>
    <row r="152" spans="10:18">
      <c r="J152" s="49"/>
      <c r="N152" t="str">
        <f t="shared" si="10"/>
        <v/>
      </c>
      <c r="O152" t="str">
        <f t="shared" si="11"/>
        <v xml:space="preserve"> </v>
      </c>
      <c r="P152" t="str">
        <f t="shared" si="12"/>
        <v/>
      </c>
      <c r="Q152" t="str">
        <f t="shared" si="13"/>
        <v/>
      </c>
      <c r="R152" t="str">
        <f t="shared" si="14"/>
        <v/>
      </c>
    </row>
    <row r="153" spans="10:18">
      <c r="J153" s="49"/>
      <c r="N153" t="str">
        <f t="shared" si="10"/>
        <v/>
      </c>
      <c r="O153" t="str">
        <f t="shared" si="11"/>
        <v xml:space="preserve"> </v>
      </c>
      <c r="P153" t="str">
        <f t="shared" si="12"/>
        <v/>
      </c>
      <c r="Q153" t="str">
        <f t="shared" si="13"/>
        <v/>
      </c>
      <c r="R153" t="str">
        <f t="shared" si="14"/>
        <v/>
      </c>
    </row>
    <row r="154" spans="10:18">
      <c r="J154" s="49"/>
      <c r="N154" t="str">
        <f t="shared" si="10"/>
        <v/>
      </c>
      <c r="O154" t="str">
        <f t="shared" si="11"/>
        <v xml:space="preserve"> </v>
      </c>
      <c r="P154" t="str">
        <f t="shared" si="12"/>
        <v/>
      </c>
      <c r="Q154" t="str">
        <f t="shared" si="13"/>
        <v/>
      </c>
      <c r="R154" t="str">
        <f t="shared" si="14"/>
        <v/>
      </c>
    </row>
    <row r="155" spans="10:18">
      <c r="J155" s="49"/>
      <c r="N155" t="str">
        <f t="shared" si="10"/>
        <v/>
      </c>
      <c r="O155" t="str">
        <f t="shared" si="11"/>
        <v xml:space="preserve"> </v>
      </c>
      <c r="P155" t="str">
        <f t="shared" si="12"/>
        <v/>
      </c>
      <c r="Q155" t="str">
        <f t="shared" si="13"/>
        <v/>
      </c>
      <c r="R155" t="str">
        <f t="shared" si="14"/>
        <v/>
      </c>
    </row>
    <row r="156" spans="10:18">
      <c r="J156" s="49"/>
      <c r="N156" t="str">
        <f t="shared" si="10"/>
        <v/>
      </c>
      <c r="O156" t="str">
        <f t="shared" si="11"/>
        <v xml:space="preserve"> </v>
      </c>
      <c r="P156" t="str">
        <f t="shared" si="12"/>
        <v/>
      </c>
      <c r="Q156" t="str">
        <f t="shared" si="13"/>
        <v/>
      </c>
      <c r="R156" t="str">
        <f t="shared" si="14"/>
        <v/>
      </c>
    </row>
    <row r="157" spans="10:18">
      <c r="J157" s="49"/>
      <c r="N157" t="str">
        <f t="shared" si="10"/>
        <v/>
      </c>
      <c r="O157" t="str">
        <f t="shared" si="11"/>
        <v xml:space="preserve"> </v>
      </c>
      <c r="P157" t="str">
        <f t="shared" si="12"/>
        <v/>
      </c>
      <c r="Q157" t="str">
        <f t="shared" si="13"/>
        <v/>
      </c>
      <c r="R157" t="str">
        <f t="shared" si="14"/>
        <v/>
      </c>
    </row>
    <row r="158" spans="10:18">
      <c r="J158" s="49"/>
      <c r="N158" t="str">
        <f t="shared" si="10"/>
        <v/>
      </c>
      <c r="O158" t="str">
        <f t="shared" si="11"/>
        <v xml:space="preserve"> </v>
      </c>
      <c r="P158" t="str">
        <f t="shared" si="12"/>
        <v/>
      </c>
      <c r="Q158" t="str">
        <f t="shared" si="13"/>
        <v/>
      </c>
      <c r="R158" t="str">
        <f t="shared" si="14"/>
        <v/>
      </c>
    </row>
    <row r="159" spans="10:18">
      <c r="J159" s="49"/>
      <c r="N159" t="str">
        <f t="shared" si="10"/>
        <v/>
      </c>
      <c r="O159" t="str">
        <f t="shared" si="11"/>
        <v xml:space="preserve"> </v>
      </c>
      <c r="P159" t="str">
        <f t="shared" si="12"/>
        <v/>
      </c>
      <c r="Q159" t="str">
        <f t="shared" si="13"/>
        <v/>
      </c>
      <c r="R159" t="str">
        <f t="shared" si="14"/>
        <v/>
      </c>
    </row>
    <row r="160" spans="10:18">
      <c r="J160" s="49"/>
      <c r="N160" t="str">
        <f t="shared" si="10"/>
        <v/>
      </c>
      <c r="O160" t="str">
        <f t="shared" si="11"/>
        <v xml:space="preserve"> </v>
      </c>
      <c r="P160" t="str">
        <f t="shared" si="12"/>
        <v/>
      </c>
      <c r="Q160" t="str">
        <f t="shared" si="13"/>
        <v/>
      </c>
      <c r="R160" t="str">
        <f t="shared" si="14"/>
        <v/>
      </c>
    </row>
    <row r="161" spans="10:18">
      <c r="J161" s="49"/>
      <c r="N161" t="str">
        <f t="shared" si="10"/>
        <v/>
      </c>
      <c r="O161" t="str">
        <f t="shared" si="11"/>
        <v xml:space="preserve"> </v>
      </c>
      <c r="P161" t="str">
        <f t="shared" si="12"/>
        <v/>
      </c>
      <c r="Q161" t="str">
        <f t="shared" si="13"/>
        <v/>
      </c>
      <c r="R161" t="str">
        <f t="shared" si="14"/>
        <v/>
      </c>
    </row>
    <row r="162" spans="10:18">
      <c r="J162" s="49"/>
      <c r="N162" t="str">
        <f t="shared" si="10"/>
        <v/>
      </c>
      <c r="O162" t="str">
        <f t="shared" si="11"/>
        <v xml:space="preserve"> </v>
      </c>
      <c r="P162" t="str">
        <f t="shared" si="12"/>
        <v/>
      </c>
      <c r="Q162" t="str">
        <f t="shared" si="13"/>
        <v/>
      </c>
      <c r="R162" t="str">
        <f t="shared" si="14"/>
        <v/>
      </c>
    </row>
    <row r="163" spans="10:18">
      <c r="J163" s="49"/>
      <c r="N163" t="str">
        <f t="shared" si="10"/>
        <v/>
      </c>
      <c r="O163" t="str">
        <f t="shared" si="11"/>
        <v xml:space="preserve"> </v>
      </c>
      <c r="P163" t="str">
        <f t="shared" si="12"/>
        <v/>
      </c>
      <c r="Q163" t="str">
        <f t="shared" si="13"/>
        <v/>
      </c>
      <c r="R163" t="str">
        <f t="shared" si="14"/>
        <v/>
      </c>
    </row>
    <row r="164" spans="10:18">
      <c r="J164" s="49"/>
      <c r="N164" t="str">
        <f t="shared" si="10"/>
        <v/>
      </c>
      <c r="O164" t="str">
        <f t="shared" si="11"/>
        <v xml:space="preserve"> </v>
      </c>
      <c r="P164" t="str">
        <f t="shared" si="12"/>
        <v/>
      </c>
      <c r="Q164" t="str">
        <f t="shared" si="13"/>
        <v/>
      </c>
      <c r="R164" t="str">
        <f t="shared" si="14"/>
        <v/>
      </c>
    </row>
    <row r="165" spans="10:18">
      <c r="J165" s="49"/>
      <c r="N165" t="str">
        <f t="shared" si="10"/>
        <v/>
      </c>
      <c r="O165" t="str">
        <f t="shared" si="11"/>
        <v xml:space="preserve"> </v>
      </c>
      <c r="P165" t="str">
        <f t="shared" si="12"/>
        <v/>
      </c>
      <c r="Q165" t="str">
        <f t="shared" si="13"/>
        <v/>
      </c>
      <c r="R165" t="str">
        <f t="shared" si="14"/>
        <v/>
      </c>
    </row>
    <row r="166" spans="10:18">
      <c r="J166" s="49"/>
      <c r="N166" t="str">
        <f t="shared" si="10"/>
        <v/>
      </c>
      <c r="O166" t="str">
        <f t="shared" si="11"/>
        <v xml:space="preserve"> </v>
      </c>
      <c r="P166" t="str">
        <f t="shared" si="12"/>
        <v/>
      </c>
      <c r="Q166" t="str">
        <f t="shared" si="13"/>
        <v/>
      </c>
      <c r="R166" t="str">
        <f t="shared" si="14"/>
        <v/>
      </c>
    </row>
    <row r="167" spans="10:18">
      <c r="J167" s="49"/>
      <c r="N167" t="str">
        <f t="shared" si="10"/>
        <v/>
      </c>
      <c r="O167" t="str">
        <f t="shared" si="11"/>
        <v xml:space="preserve"> </v>
      </c>
      <c r="P167" t="str">
        <f t="shared" si="12"/>
        <v/>
      </c>
      <c r="Q167" t="str">
        <f t="shared" si="13"/>
        <v/>
      </c>
      <c r="R167" t="str">
        <f t="shared" si="14"/>
        <v/>
      </c>
    </row>
    <row r="168" spans="10:18">
      <c r="J168" s="49"/>
      <c r="N168" t="str">
        <f t="shared" si="10"/>
        <v/>
      </c>
      <c r="O168" t="str">
        <f t="shared" si="11"/>
        <v xml:space="preserve"> </v>
      </c>
      <c r="P168" t="str">
        <f t="shared" si="12"/>
        <v/>
      </c>
      <c r="Q168" t="str">
        <f t="shared" si="13"/>
        <v/>
      </c>
      <c r="R168" t="str">
        <f t="shared" si="14"/>
        <v/>
      </c>
    </row>
    <row r="169" spans="10:18">
      <c r="J169" s="49"/>
      <c r="N169" t="str">
        <f t="shared" si="10"/>
        <v/>
      </c>
      <c r="O169" t="str">
        <f t="shared" si="11"/>
        <v xml:space="preserve"> </v>
      </c>
      <c r="P169" t="str">
        <f t="shared" si="12"/>
        <v/>
      </c>
      <c r="Q169" t="str">
        <f t="shared" si="13"/>
        <v/>
      </c>
      <c r="R169" t="str">
        <f t="shared" si="14"/>
        <v/>
      </c>
    </row>
    <row r="170" spans="10:18">
      <c r="J170" s="49"/>
      <c r="N170" t="str">
        <f t="shared" si="10"/>
        <v/>
      </c>
      <c r="O170" t="str">
        <f t="shared" si="11"/>
        <v xml:space="preserve"> </v>
      </c>
      <c r="P170" t="str">
        <f t="shared" si="12"/>
        <v/>
      </c>
      <c r="Q170" t="str">
        <f t="shared" si="13"/>
        <v/>
      </c>
      <c r="R170" t="str">
        <f t="shared" si="14"/>
        <v/>
      </c>
    </row>
    <row r="171" spans="10:18">
      <c r="J171" s="49"/>
      <c r="N171" t="str">
        <f t="shared" si="10"/>
        <v/>
      </c>
      <c r="O171" t="str">
        <f t="shared" si="11"/>
        <v xml:space="preserve"> </v>
      </c>
      <c r="P171" t="str">
        <f t="shared" si="12"/>
        <v/>
      </c>
      <c r="Q171" t="str">
        <f t="shared" si="13"/>
        <v/>
      </c>
      <c r="R171" t="str">
        <f t="shared" si="14"/>
        <v/>
      </c>
    </row>
    <row r="172" spans="10:18">
      <c r="J172" s="49"/>
      <c r="N172" t="str">
        <f t="shared" si="10"/>
        <v/>
      </c>
      <c r="O172" t="str">
        <f t="shared" si="11"/>
        <v xml:space="preserve"> </v>
      </c>
      <c r="P172" t="str">
        <f t="shared" si="12"/>
        <v/>
      </c>
      <c r="Q172" t="str">
        <f t="shared" si="13"/>
        <v/>
      </c>
      <c r="R172" t="str">
        <f t="shared" si="14"/>
        <v/>
      </c>
    </row>
    <row r="173" spans="10:18">
      <c r="J173" s="49"/>
      <c r="N173" t="str">
        <f t="shared" si="10"/>
        <v/>
      </c>
      <c r="O173" t="str">
        <f t="shared" si="11"/>
        <v xml:space="preserve"> </v>
      </c>
      <c r="P173" t="str">
        <f t="shared" si="12"/>
        <v/>
      </c>
      <c r="Q173" t="str">
        <f t="shared" si="13"/>
        <v/>
      </c>
      <c r="R173" t="str">
        <f t="shared" si="14"/>
        <v/>
      </c>
    </row>
    <row r="174" spans="10:18">
      <c r="J174" s="49"/>
      <c r="N174" t="str">
        <f t="shared" si="10"/>
        <v/>
      </c>
      <c r="O174" t="str">
        <f t="shared" si="11"/>
        <v xml:space="preserve"> </v>
      </c>
      <c r="P174" t="str">
        <f t="shared" si="12"/>
        <v/>
      </c>
      <c r="Q174" t="str">
        <f t="shared" si="13"/>
        <v/>
      </c>
      <c r="R174" t="str">
        <f t="shared" si="14"/>
        <v/>
      </c>
    </row>
    <row r="175" spans="10:18">
      <c r="J175" s="49"/>
      <c r="N175" t="str">
        <f t="shared" si="10"/>
        <v/>
      </c>
      <c r="O175" t="str">
        <f t="shared" si="11"/>
        <v xml:space="preserve"> </v>
      </c>
      <c r="P175" t="str">
        <f t="shared" si="12"/>
        <v/>
      </c>
      <c r="Q175" t="str">
        <f t="shared" si="13"/>
        <v/>
      </c>
      <c r="R175" t="str">
        <f t="shared" si="14"/>
        <v/>
      </c>
    </row>
    <row r="176" spans="10:18">
      <c r="J176" s="49"/>
      <c r="N176" t="str">
        <f t="shared" si="10"/>
        <v/>
      </c>
      <c r="O176" t="str">
        <f t="shared" si="11"/>
        <v xml:space="preserve"> </v>
      </c>
      <c r="P176" t="str">
        <f t="shared" si="12"/>
        <v/>
      </c>
      <c r="Q176" t="str">
        <f t="shared" si="13"/>
        <v/>
      </c>
      <c r="R176" t="str">
        <f t="shared" si="14"/>
        <v/>
      </c>
    </row>
    <row r="177" spans="10:18">
      <c r="J177" s="49"/>
      <c r="N177" t="str">
        <f t="shared" si="10"/>
        <v/>
      </c>
      <c r="O177" t="str">
        <f t="shared" si="11"/>
        <v xml:space="preserve"> </v>
      </c>
      <c r="P177" t="str">
        <f t="shared" si="12"/>
        <v/>
      </c>
      <c r="Q177" t="str">
        <f t="shared" si="13"/>
        <v/>
      </c>
      <c r="R177" t="str">
        <f t="shared" si="14"/>
        <v/>
      </c>
    </row>
    <row r="178" spans="10:18">
      <c r="J178" s="49"/>
      <c r="N178" t="str">
        <f t="shared" si="10"/>
        <v/>
      </c>
      <c r="O178" t="str">
        <f t="shared" si="11"/>
        <v xml:space="preserve"> </v>
      </c>
      <c r="P178" t="str">
        <f t="shared" si="12"/>
        <v/>
      </c>
      <c r="Q178" t="str">
        <f t="shared" si="13"/>
        <v/>
      </c>
      <c r="R178" t="str">
        <f t="shared" si="14"/>
        <v/>
      </c>
    </row>
    <row r="179" spans="10:18">
      <c r="J179" s="49"/>
      <c r="N179" t="str">
        <f t="shared" si="10"/>
        <v/>
      </c>
      <c r="O179" t="str">
        <f t="shared" si="11"/>
        <v xml:space="preserve"> </v>
      </c>
      <c r="P179" t="str">
        <f t="shared" si="12"/>
        <v/>
      </c>
      <c r="Q179" t="str">
        <f t="shared" si="13"/>
        <v/>
      </c>
      <c r="R179" t="str">
        <f t="shared" si="14"/>
        <v/>
      </c>
    </row>
    <row r="180" spans="10:18">
      <c r="J180" s="49"/>
      <c r="N180" t="str">
        <f t="shared" si="10"/>
        <v/>
      </c>
      <c r="O180" t="str">
        <f t="shared" si="11"/>
        <v xml:space="preserve"> </v>
      </c>
      <c r="P180" t="str">
        <f t="shared" si="12"/>
        <v/>
      </c>
      <c r="Q180" t="str">
        <f t="shared" si="13"/>
        <v/>
      </c>
      <c r="R180" t="str">
        <f t="shared" si="14"/>
        <v/>
      </c>
    </row>
    <row r="181" spans="10:18">
      <c r="J181" s="49"/>
      <c r="N181" t="str">
        <f t="shared" si="10"/>
        <v/>
      </c>
      <c r="O181" t="str">
        <f t="shared" si="11"/>
        <v xml:space="preserve"> </v>
      </c>
      <c r="P181" t="str">
        <f t="shared" si="12"/>
        <v/>
      </c>
      <c r="Q181" t="str">
        <f t="shared" si="13"/>
        <v/>
      </c>
      <c r="R181" t="str">
        <f t="shared" si="14"/>
        <v/>
      </c>
    </row>
    <row r="182" spans="10:18">
      <c r="J182" s="49"/>
      <c r="N182" t="str">
        <f t="shared" si="10"/>
        <v/>
      </c>
      <c r="O182" t="str">
        <f t="shared" si="11"/>
        <v xml:space="preserve"> </v>
      </c>
      <c r="P182" t="str">
        <f t="shared" si="12"/>
        <v/>
      </c>
      <c r="Q182" t="str">
        <f t="shared" si="13"/>
        <v/>
      </c>
      <c r="R182" t="str">
        <f t="shared" si="14"/>
        <v/>
      </c>
    </row>
    <row r="183" spans="10:18">
      <c r="J183" s="49"/>
      <c r="N183" t="str">
        <f t="shared" si="10"/>
        <v/>
      </c>
      <c r="O183" t="str">
        <f t="shared" si="11"/>
        <v xml:space="preserve"> </v>
      </c>
      <c r="P183" t="str">
        <f t="shared" si="12"/>
        <v/>
      </c>
      <c r="Q183" t="str">
        <f t="shared" si="13"/>
        <v/>
      </c>
      <c r="R183" t="str">
        <f t="shared" si="14"/>
        <v/>
      </c>
    </row>
    <row r="184" spans="10:18">
      <c r="J184" s="49"/>
      <c r="N184" t="str">
        <f t="shared" si="10"/>
        <v/>
      </c>
      <c r="O184" t="str">
        <f t="shared" si="11"/>
        <v xml:space="preserve"> </v>
      </c>
      <c r="P184" t="str">
        <f t="shared" si="12"/>
        <v/>
      </c>
      <c r="Q184" t="str">
        <f t="shared" si="13"/>
        <v/>
      </c>
      <c r="R184" t="str">
        <f t="shared" si="14"/>
        <v/>
      </c>
    </row>
    <row r="185" spans="10:18">
      <c r="J185" s="49"/>
      <c r="N185" t="str">
        <f t="shared" si="10"/>
        <v/>
      </c>
      <c r="O185" t="str">
        <f t="shared" si="11"/>
        <v xml:space="preserve"> </v>
      </c>
      <c r="P185" t="str">
        <f t="shared" si="12"/>
        <v/>
      </c>
      <c r="Q185" t="str">
        <f t="shared" si="13"/>
        <v/>
      </c>
      <c r="R185" t="str">
        <f t="shared" si="14"/>
        <v/>
      </c>
    </row>
    <row r="186" spans="10:18">
      <c r="J186" s="49"/>
      <c r="N186" t="str">
        <f t="shared" si="10"/>
        <v/>
      </c>
      <c r="O186" t="str">
        <f t="shared" si="11"/>
        <v xml:space="preserve"> </v>
      </c>
      <c r="P186" t="str">
        <f t="shared" si="12"/>
        <v/>
      </c>
      <c r="Q186" t="str">
        <f t="shared" si="13"/>
        <v/>
      </c>
      <c r="R186" t="str">
        <f t="shared" si="14"/>
        <v/>
      </c>
    </row>
    <row r="187" spans="10:18">
      <c r="J187" s="49"/>
      <c r="N187" t="str">
        <f t="shared" si="10"/>
        <v/>
      </c>
      <c r="O187" t="str">
        <f t="shared" si="11"/>
        <v xml:space="preserve"> </v>
      </c>
      <c r="P187" t="str">
        <f t="shared" si="12"/>
        <v/>
      </c>
      <c r="Q187" t="str">
        <f t="shared" si="13"/>
        <v/>
      </c>
      <c r="R187" t="str">
        <f t="shared" si="14"/>
        <v/>
      </c>
    </row>
    <row r="188" spans="10:18">
      <c r="J188" s="49"/>
      <c r="N188" t="str">
        <f t="shared" si="10"/>
        <v/>
      </c>
      <c r="O188" t="str">
        <f t="shared" si="11"/>
        <v xml:space="preserve"> </v>
      </c>
      <c r="P188" t="str">
        <f t="shared" si="12"/>
        <v/>
      </c>
      <c r="Q188" t="str">
        <f t="shared" si="13"/>
        <v/>
      </c>
      <c r="R188" t="str">
        <f t="shared" si="14"/>
        <v/>
      </c>
    </row>
    <row r="189" spans="10:18">
      <c r="J189" s="49"/>
      <c r="N189" t="str">
        <f t="shared" si="10"/>
        <v/>
      </c>
      <c r="O189" t="str">
        <f t="shared" si="11"/>
        <v xml:space="preserve"> </v>
      </c>
      <c r="P189" t="str">
        <f t="shared" si="12"/>
        <v/>
      </c>
      <c r="Q189" t="str">
        <f t="shared" si="13"/>
        <v/>
      </c>
      <c r="R189" t="str">
        <f t="shared" si="14"/>
        <v/>
      </c>
    </row>
    <row r="190" spans="10:18">
      <c r="J190" s="49"/>
      <c r="N190" t="str">
        <f t="shared" si="10"/>
        <v/>
      </c>
      <c r="O190" t="str">
        <f t="shared" si="11"/>
        <v xml:space="preserve"> </v>
      </c>
      <c r="P190" t="str">
        <f t="shared" si="12"/>
        <v/>
      </c>
      <c r="Q190" t="str">
        <f t="shared" si="13"/>
        <v/>
      </c>
      <c r="R190" t="str">
        <f t="shared" si="14"/>
        <v/>
      </c>
    </row>
    <row r="191" spans="10:18">
      <c r="J191" s="49"/>
      <c r="N191" t="str">
        <f t="shared" si="10"/>
        <v/>
      </c>
      <c r="O191" t="str">
        <f t="shared" si="11"/>
        <v xml:space="preserve"> </v>
      </c>
      <c r="P191" t="str">
        <f t="shared" si="12"/>
        <v/>
      </c>
      <c r="Q191" t="str">
        <f t="shared" si="13"/>
        <v/>
      </c>
      <c r="R191" t="str">
        <f t="shared" si="14"/>
        <v/>
      </c>
    </row>
    <row r="192" spans="10:18">
      <c r="J192" s="49"/>
      <c r="N192" t="str">
        <f t="shared" si="10"/>
        <v/>
      </c>
      <c r="O192" t="str">
        <f t="shared" si="11"/>
        <v xml:space="preserve"> </v>
      </c>
      <c r="P192" t="str">
        <f t="shared" si="12"/>
        <v/>
      </c>
      <c r="Q192" t="str">
        <f t="shared" si="13"/>
        <v/>
      </c>
      <c r="R192" t="str">
        <f t="shared" si="14"/>
        <v/>
      </c>
    </row>
    <row r="193" spans="10:18">
      <c r="J193" s="49"/>
      <c r="N193" t="str">
        <f t="shared" si="10"/>
        <v/>
      </c>
      <c r="O193" t="str">
        <f t="shared" si="11"/>
        <v xml:space="preserve"> </v>
      </c>
      <c r="P193" t="str">
        <f t="shared" si="12"/>
        <v/>
      </c>
      <c r="Q193" t="str">
        <f t="shared" si="13"/>
        <v/>
      </c>
      <c r="R193" t="str">
        <f t="shared" si="14"/>
        <v/>
      </c>
    </row>
    <row r="194" spans="10:18">
      <c r="J194" s="49"/>
      <c r="N194" t="str">
        <f t="shared" si="10"/>
        <v/>
      </c>
      <c r="O194" t="str">
        <f t="shared" si="11"/>
        <v xml:space="preserve"> </v>
      </c>
      <c r="P194" t="str">
        <f t="shared" si="12"/>
        <v/>
      </c>
      <c r="Q194" t="str">
        <f t="shared" si="13"/>
        <v/>
      </c>
      <c r="R194" t="str">
        <f t="shared" si="14"/>
        <v/>
      </c>
    </row>
    <row r="195" spans="10:18">
      <c r="J195" s="49"/>
      <c r="N195" t="str">
        <f t="shared" si="10"/>
        <v/>
      </c>
      <c r="O195" t="str">
        <f t="shared" si="11"/>
        <v xml:space="preserve"> </v>
      </c>
      <c r="P195" t="str">
        <f t="shared" si="12"/>
        <v/>
      </c>
      <c r="Q195" t="str">
        <f t="shared" si="13"/>
        <v/>
      </c>
      <c r="R195" t="str">
        <f t="shared" si="14"/>
        <v/>
      </c>
    </row>
    <row r="196" spans="10:18">
      <c r="J196" s="49"/>
      <c r="N196" t="str">
        <f t="shared" ref="N196:N259" si="15">IF(G196="","",_xlfn.IFS(LEN(G196)=14,"2",LEN(G196)=11,"1"))</f>
        <v/>
      </c>
      <c r="O196" t="str">
        <f t="shared" ref="O196:O259" si="16">" "&amp;RIGHT(LEFT(L196,3),2)</f>
        <v xml:space="preserve"> </v>
      </c>
      <c r="P196" t="str">
        <f t="shared" ref="P196:P259" si="17">IF(G196="","",TEXT(G196,"00000000000000"))</f>
        <v/>
      </c>
      <c r="Q196" t="str">
        <f t="shared" ref="Q196:Q259" si="18">TEXT(IF(F196="","",ROW(F196)-2),"00000")</f>
        <v/>
      </c>
      <c r="R196" t="str">
        <f t="shared" ref="R196:R259" si="19">_xlfn.IFS(J196="","",J196="PIX","45",J196="TED","03",J196="PIX QR CODE","47")</f>
        <v/>
      </c>
    </row>
    <row r="197" spans="10:18">
      <c r="J197" s="49"/>
      <c r="N197" t="str">
        <f t="shared" si="15"/>
        <v/>
      </c>
      <c r="O197" t="str">
        <f t="shared" si="16"/>
        <v xml:space="preserve"> </v>
      </c>
      <c r="P197" t="str">
        <f t="shared" si="17"/>
        <v/>
      </c>
      <c r="Q197" t="str">
        <f t="shared" si="18"/>
        <v/>
      </c>
      <c r="R197" t="str">
        <f t="shared" si="19"/>
        <v/>
      </c>
    </row>
    <row r="198" spans="10:18">
      <c r="J198" s="49"/>
      <c r="N198" t="str">
        <f t="shared" si="15"/>
        <v/>
      </c>
      <c r="O198" t="str">
        <f t="shared" si="16"/>
        <v xml:space="preserve"> </v>
      </c>
      <c r="P198" t="str">
        <f t="shared" si="17"/>
        <v/>
      </c>
      <c r="Q198" t="str">
        <f t="shared" si="18"/>
        <v/>
      </c>
      <c r="R198" t="str">
        <f t="shared" si="19"/>
        <v/>
      </c>
    </row>
    <row r="199" spans="10:18">
      <c r="J199" s="49"/>
      <c r="N199" t="str">
        <f t="shared" si="15"/>
        <v/>
      </c>
      <c r="O199" t="str">
        <f t="shared" si="16"/>
        <v xml:space="preserve"> </v>
      </c>
      <c r="P199" t="str">
        <f t="shared" si="17"/>
        <v/>
      </c>
      <c r="Q199" t="str">
        <f t="shared" si="18"/>
        <v/>
      </c>
      <c r="R199" t="str">
        <f t="shared" si="19"/>
        <v/>
      </c>
    </row>
    <row r="200" spans="10:18">
      <c r="J200" s="49"/>
      <c r="N200" t="str">
        <f t="shared" si="15"/>
        <v/>
      </c>
      <c r="O200" t="str">
        <f t="shared" si="16"/>
        <v xml:space="preserve"> </v>
      </c>
      <c r="P200" t="str">
        <f t="shared" si="17"/>
        <v/>
      </c>
      <c r="Q200" t="str">
        <f t="shared" si="18"/>
        <v/>
      </c>
      <c r="R200" t="str">
        <f t="shared" si="19"/>
        <v/>
      </c>
    </row>
    <row r="201" spans="10:18">
      <c r="J201" s="49"/>
      <c r="N201" t="str">
        <f t="shared" si="15"/>
        <v/>
      </c>
      <c r="O201" t="str">
        <f t="shared" si="16"/>
        <v xml:space="preserve"> </v>
      </c>
      <c r="P201" t="str">
        <f t="shared" si="17"/>
        <v/>
      </c>
      <c r="Q201" t="str">
        <f t="shared" si="18"/>
        <v/>
      </c>
      <c r="R201" t="str">
        <f t="shared" si="19"/>
        <v/>
      </c>
    </row>
    <row r="202" spans="10:18">
      <c r="J202" s="49"/>
      <c r="N202" t="str">
        <f t="shared" si="15"/>
        <v/>
      </c>
      <c r="O202" t="str">
        <f t="shared" si="16"/>
        <v xml:space="preserve"> </v>
      </c>
      <c r="P202" t="str">
        <f t="shared" si="17"/>
        <v/>
      </c>
      <c r="Q202" t="str">
        <f t="shared" si="18"/>
        <v/>
      </c>
      <c r="R202" t="str">
        <f t="shared" si="19"/>
        <v/>
      </c>
    </row>
    <row r="203" spans="10:18">
      <c r="J203" s="49"/>
      <c r="N203" t="str">
        <f t="shared" si="15"/>
        <v/>
      </c>
      <c r="O203" t="str">
        <f t="shared" si="16"/>
        <v xml:space="preserve"> </v>
      </c>
      <c r="P203" t="str">
        <f t="shared" si="17"/>
        <v/>
      </c>
      <c r="Q203" t="str">
        <f t="shared" si="18"/>
        <v/>
      </c>
      <c r="R203" t="str">
        <f t="shared" si="19"/>
        <v/>
      </c>
    </row>
    <row r="204" spans="10:18">
      <c r="J204" s="49"/>
      <c r="N204" t="str">
        <f t="shared" si="15"/>
        <v/>
      </c>
      <c r="O204" t="str">
        <f t="shared" si="16"/>
        <v xml:space="preserve"> </v>
      </c>
      <c r="P204" t="str">
        <f t="shared" si="17"/>
        <v/>
      </c>
      <c r="Q204" t="str">
        <f t="shared" si="18"/>
        <v/>
      </c>
      <c r="R204" t="str">
        <f t="shared" si="19"/>
        <v/>
      </c>
    </row>
    <row r="205" spans="10:18">
      <c r="J205" s="49"/>
      <c r="N205" t="str">
        <f t="shared" si="15"/>
        <v/>
      </c>
      <c r="O205" t="str">
        <f t="shared" si="16"/>
        <v xml:space="preserve"> </v>
      </c>
      <c r="P205" t="str">
        <f t="shared" si="17"/>
        <v/>
      </c>
      <c r="Q205" t="str">
        <f t="shared" si="18"/>
        <v/>
      </c>
      <c r="R205" t="str">
        <f t="shared" si="19"/>
        <v/>
      </c>
    </row>
    <row r="206" spans="10:18">
      <c r="J206" s="49"/>
      <c r="N206" t="str">
        <f t="shared" si="15"/>
        <v/>
      </c>
      <c r="O206" t="str">
        <f t="shared" si="16"/>
        <v xml:space="preserve"> </v>
      </c>
      <c r="P206" t="str">
        <f t="shared" si="17"/>
        <v/>
      </c>
      <c r="Q206" t="str">
        <f t="shared" si="18"/>
        <v/>
      </c>
      <c r="R206" t="str">
        <f t="shared" si="19"/>
        <v/>
      </c>
    </row>
    <row r="207" spans="10:18">
      <c r="J207" s="49"/>
      <c r="N207" t="str">
        <f t="shared" si="15"/>
        <v/>
      </c>
      <c r="O207" t="str">
        <f t="shared" si="16"/>
        <v xml:space="preserve"> </v>
      </c>
      <c r="P207" t="str">
        <f t="shared" si="17"/>
        <v/>
      </c>
      <c r="Q207" t="str">
        <f t="shared" si="18"/>
        <v/>
      </c>
      <c r="R207" t="str">
        <f t="shared" si="19"/>
        <v/>
      </c>
    </row>
    <row r="208" spans="10:18">
      <c r="J208" s="49"/>
      <c r="N208" t="str">
        <f t="shared" si="15"/>
        <v/>
      </c>
      <c r="O208" t="str">
        <f t="shared" si="16"/>
        <v xml:space="preserve"> </v>
      </c>
      <c r="P208" t="str">
        <f t="shared" si="17"/>
        <v/>
      </c>
      <c r="Q208" t="str">
        <f t="shared" si="18"/>
        <v/>
      </c>
      <c r="R208" t="str">
        <f t="shared" si="19"/>
        <v/>
      </c>
    </row>
    <row r="209" spans="10:18">
      <c r="J209" s="49"/>
      <c r="N209" t="str">
        <f t="shared" si="15"/>
        <v/>
      </c>
      <c r="O209" t="str">
        <f t="shared" si="16"/>
        <v xml:space="preserve"> </v>
      </c>
      <c r="P209" t="str">
        <f t="shared" si="17"/>
        <v/>
      </c>
      <c r="Q209" t="str">
        <f t="shared" si="18"/>
        <v/>
      </c>
      <c r="R209" t="str">
        <f t="shared" si="19"/>
        <v/>
      </c>
    </row>
    <row r="210" spans="10:18">
      <c r="J210" s="49"/>
      <c r="N210" t="str">
        <f t="shared" si="15"/>
        <v/>
      </c>
      <c r="O210" t="str">
        <f t="shared" si="16"/>
        <v xml:space="preserve"> </v>
      </c>
      <c r="P210" t="str">
        <f t="shared" si="17"/>
        <v/>
      </c>
      <c r="Q210" t="str">
        <f t="shared" si="18"/>
        <v/>
      </c>
      <c r="R210" t="str">
        <f t="shared" si="19"/>
        <v/>
      </c>
    </row>
    <row r="211" spans="10:18">
      <c r="J211" s="49"/>
      <c r="N211" t="str">
        <f t="shared" si="15"/>
        <v/>
      </c>
      <c r="O211" t="str">
        <f t="shared" si="16"/>
        <v xml:space="preserve"> </v>
      </c>
      <c r="P211" t="str">
        <f t="shared" si="17"/>
        <v/>
      </c>
      <c r="Q211" t="str">
        <f t="shared" si="18"/>
        <v/>
      </c>
      <c r="R211" t="str">
        <f t="shared" si="19"/>
        <v/>
      </c>
    </row>
    <row r="212" spans="10:18">
      <c r="J212" s="49"/>
      <c r="N212" t="str">
        <f t="shared" si="15"/>
        <v/>
      </c>
      <c r="O212" t="str">
        <f t="shared" si="16"/>
        <v xml:space="preserve"> </v>
      </c>
      <c r="P212" t="str">
        <f t="shared" si="17"/>
        <v/>
      </c>
      <c r="Q212" t="str">
        <f t="shared" si="18"/>
        <v/>
      </c>
      <c r="R212" t="str">
        <f t="shared" si="19"/>
        <v/>
      </c>
    </row>
    <row r="213" spans="10:18">
      <c r="J213" s="49"/>
      <c r="N213" t="str">
        <f t="shared" si="15"/>
        <v/>
      </c>
      <c r="O213" t="str">
        <f t="shared" si="16"/>
        <v xml:space="preserve"> </v>
      </c>
      <c r="P213" t="str">
        <f t="shared" si="17"/>
        <v/>
      </c>
      <c r="Q213" t="str">
        <f t="shared" si="18"/>
        <v/>
      </c>
      <c r="R213" t="str">
        <f t="shared" si="19"/>
        <v/>
      </c>
    </row>
    <row r="214" spans="10:18">
      <c r="J214" s="49"/>
      <c r="N214" t="str">
        <f t="shared" si="15"/>
        <v/>
      </c>
      <c r="O214" t="str">
        <f t="shared" si="16"/>
        <v xml:space="preserve"> </v>
      </c>
      <c r="P214" t="str">
        <f t="shared" si="17"/>
        <v/>
      </c>
      <c r="Q214" t="str">
        <f t="shared" si="18"/>
        <v/>
      </c>
      <c r="R214" t="str">
        <f t="shared" si="19"/>
        <v/>
      </c>
    </row>
    <row r="215" spans="10:18">
      <c r="J215" s="49"/>
      <c r="N215" t="str">
        <f t="shared" si="15"/>
        <v/>
      </c>
      <c r="O215" t="str">
        <f t="shared" si="16"/>
        <v xml:space="preserve"> </v>
      </c>
      <c r="P215" t="str">
        <f t="shared" si="17"/>
        <v/>
      </c>
      <c r="Q215" t="str">
        <f t="shared" si="18"/>
        <v/>
      </c>
      <c r="R215" t="str">
        <f t="shared" si="19"/>
        <v/>
      </c>
    </row>
    <row r="216" spans="10:18">
      <c r="J216" s="49"/>
      <c r="N216" t="str">
        <f t="shared" si="15"/>
        <v/>
      </c>
      <c r="O216" t="str">
        <f t="shared" si="16"/>
        <v xml:space="preserve"> </v>
      </c>
      <c r="P216" t="str">
        <f t="shared" si="17"/>
        <v/>
      </c>
      <c r="Q216" t="str">
        <f t="shared" si="18"/>
        <v/>
      </c>
      <c r="R216" t="str">
        <f t="shared" si="19"/>
        <v/>
      </c>
    </row>
    <row r="217" spans="10:18">
      <c r="J217" s="49"/>
      <c r="N217" t="str">
        <f t="shared" si="15"/>
        <v/>
      </c>
      <c r="O217" t="str">
        <f t="shared" si="16"/>
        <v xml:space="preserve"> </v>
      </c>
      <c r="P217" t="str">
        <f t="shared" si="17"/>
        <v/>
      </c>
      <c r="Q217" t="str">
        <f t="shared" si="18"/>
        <v/>
      </c>
      <c r="R217" t="str">
        <f t="shared" si="19"/>
        <v/>
      </c>
    </row>
    <row r="218" spans="10:18">
      <c r="J218" s="49"/>
      <c r="N218" t="str">
        <f t="shared" si="15"/>
        <v/>
      </c>
      <c r="O218" t="str">
        <f t="shared" si="16"/>
        <v xml:space="preserve"> </v>
      </c>
      <c r="P218" t="str">
        <f t="shared" si="17"/>
        <v/>
      </c>
      <c r="Q218" t="str">
        <f t="shared" si="18"/>
        <v/>
      </c>
      <c r="R218" t="str">
        <f t="shared" si="19"/>
        <v/>
      </c>
    </row>
    <row r="219" spans="10:18">
      <c r="J219" s="49"/>
      <c r="N219" t="str">
        <f t="shared" si="15"/>
        <v/>
      </c>
      <c r="O219" t="str">
        <f t="shared" si="16"/>
        <v xml:space="preserve"> </v>
      </c>
      <c r="P219" t="str">
        <f t="shared" si="17"/>
        <v/>
      </c>
      <c r="Q219" t="str">
        <f t="shared" si="18"/>
        <v/>
      </c>
      <c r="R219" t="str">
        <f t="shared" si="19"/>
        <v/>
      </c>
    </row>
    <row r="220" spans="10:18">
      <c r="J220" s="49"/>
      <c r="N220" t="str">
        <f t="shared" si="15"/>
        <v/>
      </c>
      <c r="O220" t="str">
        <f t="shared" si="16"/>
        <v xml:space="preserve"> </v>
      </c>
      <c r="P220" t="str">
        <f t="shared" si="17"/>
        <v/>
      </c>
      <c r="Q220" t="str">
        <f t="shared" si="18"/>
        <v/>
      </c>
      <c r="R220" t="str">
        <f t="shared" si="19"/>
        <v/>
      </c>
    </row>
    <row r="221" spans="10:18">
      <c r="J221" s="49"/>
      <c r="N221" t="str">
        <f t="shared" si="15"/>
        <v/>
      </c>
      <c r="O221" t="str">
        <f t="shared" si="16"/>
        <v xml:space="preserve"> </v>
      </c>
      <c r="P221" t="str">
        <f t="shared" si="17"/>
        <v/>
      </c>
      <c r="Q221" t="str">
        <f t="shared" si="18"/>
        <v/>
      </c>
      <c r="R221" t="str">
        <f t="shared" si="19"/>
        <v/>
      </c>
    </row>
    <row r="222" spans="10:18">
      <c r="J222" s="49"/>
      <c r="N222" t="str">
        <f t="shared" si="15"/>
        <v/>
      </c>
      <c r="O222" t="str">
        <f t="shared" si="16"/>
        <v xml:space="preserve"> </v>
      </c>
      <c r="P222" t="str">
        <f t="shared" si="17"/>
        <v/>
      </c>
      <c r="Q222" t="str">
        <f t="shared" si="18"/>
        <v/>
      </c>
      <c r="R222" t="str">
        <f t="shared" si="19"/>
        <v/>
      </c>
    </row>
    <row r="223" spans="10:18">
      <c r="J223" s="49"/>
      <c r="N223" t="str">
        <f t="shared" si="15"/>
        <v/>
      </c>
      <c r="O223" t="str">
        <f t="shared" si="16"/>
        <v xml:space="preserve"> </v>
      </c>
      <c r="P223" t="str">
        <f t="shared" si="17"/>
        <v/>
      </c>
      <c r="Q223" t="str">
        <f t="shared" si="18"/>
        <v/>
      </c>
      <c r="R223" t="str">
        <f t="shared" si="19"/>
        <v/>
      </c>
    </row>
    <row r="224" spans="10:18">
      <c r="J224" s="49"/>
      <c r="N224" t="str">
        <f t="shared" si="15"/>
        <v/>
      </c>
      <c r="O224" t="str">
        <f t="shared" si="16"/>
        <v xml:space="preserve"> </v>
      </c>
      <c r="P224" t="str">
        <f t="shared" si="17"/>
        <v/>
      </c>
      <c r="Q224" t="str">
        <f t="shared" si="18"/>
        <v/>
      </c>
      <c r="R224" t="str">
        <f t="shared" si="19"/>
        <v/>
      </c>
    </row>
    <row r="225" spans="10:18">
      <c r="J225" s="49"/>
      <c r="N225" t="str">
        <f t="shared" si="15"/>
        <v/>
      </c>
      <c r="O225" t="str">
        <f t="shared" si="16"/>
        <v xml:space="preserve"> </v>
      </c>
      <c r="P225" t="str">
        <f t="shared" si="17"/>
        <v/>
      </c>
      <c r="Q225" t="str">
        <f t="shared" si="18"/>
        <v/>
      </c>
      <c r="R225" t="str">
        <f t="shared" si="19"/>
        <v/>
      </c>
    </row>
    <row r="226" spans="10:18">
      <c r="J226" s="49"/>
      <c r="N226" t="str">
        <f t="shared" si="15"/>
        <v/>
      </c>
      <c r="O226" t="str">
        <f t="shared" si="16"/>
        <v xml:space="preserve"> </v>
      </c>
      <c r="P226" t="str">
        <f t="shared" si="17"/>
        <v/>
      </c>
      <c r="Q226" t="str">
        <f t="shared" si="18"/>
        <v/>
      </c>
      <c r="R226" t="str">
        <f t="shared" si="19"/>
        <v/>
      </c>
    </row>
    <row r="227" spans="10:18">
      <c r="J227" s="49"/>
      <c r="N227" t="str">
        <f t="shared" si="15"/>
        <v/>
      </c>
      <c r="O227" t="str">
        <f t="shared" si="16"/>
        <v xml:space="preserve"> </v>
      </c>
      <c r="P227" t="str">
        <f t="shared" si="17"/>
        <v/>
      </c>
      <c r="Q227" t="str">
        <f t="shared" si="18"/>
        <v/>
      </c>
      <c r="R227" t="str">
        <f t="shared" si="19"/>
        <v/>
      </c>
    </row>
    <row r="228" spans="10:18">
      <c r="J228" s="49"/>
      <c r="N228" t="str">
        <f t="shared" si="15"/>
        <v/>
      </c>
      <c r="O228" t="str">
        <f t="shared" si="16"/>
        <v xml:space="preserve"> </v>
      </c>
      <c r="P228" t="str">
        <f t="shared" si="17"/>
        <v/>
      </c>
      <c r="Q228" t="str">
        <f t="shared" si="18"/>
        <v/>
      </c>
      <c r="R228" t="str">
        <f t="shared" si="19"/>
        <v/>
      </c>
    </row>
    <row r="229" spans="10:18">
      <c r="J229" s="49"/>
      <c r="N229" t="str">
        <f t="shared" si="15"/>
        <v/>
      </c>
      <c r="O229" t="str">
        <f t="shared" si="16"/>
        <v xml:space="preserve"> </v>
      </c>
      <c r="P229" t="str">
        <f t="shared" si="17"/>
        <v/>
      </c>
      <c r="Q229" t="str">
        <f t="shared" si="18"/>
        <v/>
      </c>
      <c r="R229" t="str">
        <f t="shared" si="19"/>
        <v/>
      </c>
    </row>
    <row r="230" spans="10:18">
      <c r="J230" s="49"/>
      <c r="N230" t="str">
        <f t="shared" si="15"/>
        <v/>
      </c>
      <c r="O230" t="str">
        <f t="shared" si="16"/>
        <v xml:space="preserve"> </v>
      </c>
      <c r="P230" t="str">
        <f t="shared" si="17"/>
        <v/>
      </c>
      <c r="Q230" t="str">
        <f t="shared" si="18"/>
        <v/>
      </c>
      <c r="R230" t="str">
        <f t="shared" si="19"/>
        <v/>
      </c>
    </row>
    <row r="231" spans="10:18">
      <c r="J231" s="49"/>
      <c r="N231" t="str">
        <f t="shared" si="15"/>
        <v/>
      </c>
      <c r="O231" t="str">
        <f t="shared" si="16"/>
        <v xml:space="preserve"> </v>
      </c>
      <c r="P231" t="str">
        <f t="shared" si="17"/>
        <v/>
      </c>
      <c r="Q231" t="str">
        <f t="shared" si="18"/>
        <v/>
      </c>
      <c r="R231" t="str">
        <f t="shared" si="19"/>
        <v/>
      </c>
    </row>
    <row r="232" spans="10:18">
      <c r="J232" s="49"/>
      <c r="N232" t="str">
        <f t="shared" si="15"/>
        <v/>
      </c>
      <c r="O232" t="str">
        <f t="shared" si="16"/>
        <v xml:space="preserve"> </v>
      </c>
      <c r="P232" t="str">
        <f t="shared" si="17"/>
        <v/>
      </c>
      <c r="Q232" t="str">
        <f t="shared" si="18"/>
        <v/>
      </c>
      <c r="R232" t="str">
        <f t="shared" si="19"/>
        <v/>
      </c>
    </row>
    <row r="233" spans="10:18">
      <c r="J233" s="49"/>
      <c r="N233" t="str">
        <f t="shared" si="15"/>
        <v/>
      </c>
      <c r="O233" t="str">
        <f t="shared" si="16"/>
        <v xml:space="preserve"> </v>
      </c>
      <c r="P233" t="str">
        <f t="shared" si="17"/>
        <v/>
      </c>
      <c r="Q233" t="str">
        <f t="shared" si="18"/>
        <v/>
      </c>
      <c r="R233" t="str">
        <f t="shared" si="19"/>
        <v/>
      </c>
    </row>
    <row r="234" spans="10:18">
      <c r="J234" s="49"/>
      <c r="N234" t="str">
        <f t="shared" si="15"/>
        <v/>
      </c>
      <c r="O234" t="str">
        <f t="shared" si="16"/>
        <v xml:space="preserve"> </v>
      </c>
      <c r="P234" t="str">
        <f t="shared" si="17"/>
        <v/>
      </c>
      <c r="Q234" t="str">
        <f t="shared" si="18"/>
        <v/>
      </c>
      <c r="R234" t="str">
        <f t="shared" si="19"/>
        <v/>
      </c>
    </row>
    <row r="235" spans="10:18">
      <c r="J235" s="49"/>
      <c r="N235" t="str">
        <f t="shared" si="15"/>
        <v/>
      </c>
      <c r="O235" t="str">
        <f t="shared" si="16"/>
        <v xml:space="preserve"> </v>
      </c>
      <c r="P235" t="str">
        <f t="shared" si="17"/>
        <v/>
      </c>
      <c r="Q235" t="str">
        <f t="shared" si="18"/>
        <v/>
      </c>
      <c r="R235" t="str">
        <f t="shared" si="19"/>
        <v/>
      </c>
    </row>
    <row r="236" spans="10:18">
      <c r="J236" s="49"/>
      <c r="N236" t="str">
        <f t="shared" si="15"/>
        <v/>
      </c>
      <c r="O236" t="str">
        <f t="shared" si="16"/>
        <v xml:space="preserve"> </v>
      </c>
      <c r="P236" t="str">
        <f t="shared" si="17"/>
        <v/>
      </c>
      <c r="Q236" t="str">
        <f t="shared" si="18"/>
        <v/>
      </c>
      <c r="R236" t="str">
        <f t="shared" si="19"/>
        <v/>
      </c>
    </row>
    <row r="237" spans="10:18">
      <c r="J237" s="49"/>
      <c r="N237" t="str">
        <f t="shared" si="15"/>
        <v/>
      </c>
      <c r="O237" t="str">
        <f t="shared" si="16"/>
        <v xml:space="preserve"> </v>
      </c>
      <c r="P237" t="str">
        <f t="shared" si="17"/>
        <v/>
      </c>
      <c r="Q237" t="str">
        <f t="shared" si="18"/>
        <v/>
      </c>
      <c r="R237" t="str">
        <f t="shared" si="19"/>
        <v/>
      </c>
    </row>
    <row r="238" spans="10:18">
      <c r="J238" s="49"/>
      <c r="N238" t="str">
        <f t="shared" si="15"/>
        <v/>
      </c>
      <c r="O238" t="str">
        <f t="shared" si="16"/>
        <v xml:space="preserve"> </v>
      </c>
      <c r="P238" t="str">
        <f t="shared" si="17"/>
        <v/>
      </c>
      <c r="Q238" t="str">
        <f t="shared" si="18"/>
        <v/>
      </c>
      <c r="R238" t="str">
        <f t="shared" si="19"/>
        <v/>
      </c>
    </row>
    <row r="239" spans="10:18">
      <c r="J239" s="49"/>
      <c r="N239" t="str">
        <f t="shared" si="15"/>
        <v/>
      </c>
      <c r="O239" t="str">
        <f t="shared" si="16"/>
        <v xml:space="preserve"> </v>
      </c>
      <c r="P239" t="str">
        <f t="shared" si="17"/>
        <v/>
      </c>
      <c r="Q239" t="str">
        <f t="shared" si="18"/>
        <v/>
      </c>
      <c r="R239" t="str">
        <f t="shared" si="19"/>
        <v/>
      </c>
    </row>
    <row r="240" spans="10:18">
      <c r="J240" s="49"/>
      <c r="N240" t="str">
        <f t="shared" si="15"/>
        <v/>
      </c>
      <c r="O240" t="str">
        <f t="shared" si="16"/>
        <v xml:space="preserve"> </v>
      </c>
      <c r="P240" t="str">
        <f t="shared" si="17"/>
        <v/>
      </c>
      <c r="Q240" t="str">
        <f t="shared" si="18"/>
        <v/>
      </c>
      <c r="R240" t="str">
        <f t="shared" si="19"/>
        <v/>
      </c>
    </row>
    <row r="241" spans="10:18">
      <c r="J241" s="49"/>
      <c r="N241" t="str">
        <f t="shared" si="15"/>
        <v/>
      </c>
      <c r="O241" t="str">
        <f t="shared" si="16"/>
        <v xml:space="preserve"> </v>
      </c>
      <c r="P241" t="str">
        <f t="shared" si="17"/>
        <v/>
      </c>
      <c r="Q241" t="str">
        <f t="shared" si="18"/>
        <v/>
      </c>
      <c r="R241" t="str">
        <f t="shared" si="19"/>
        <v/>
      </c>
    </row>
    <row r="242" spans="10:18">
      <c r="J242" s="49"/>
      <c r="N242" t="str">
        <f t="shared" si="15"/>
        <v/>
      </c>
      <c r="O242" t="str">
        <f t="shared" si="16"/>
        <v xml:space="preserve"> </v>
      </c>
      <c r="P242" t="str">
        <f t="shared" si="17"/>
        <v/>
      </c>
      <c r="Q242" t="str">
        <f t="shared" si="18"/>
        <v/>
      </c>
      <c r="R242" t="str">
        <f t="shared" si="19"/>
        <v/>
      </c>
    </row>
    <row r="243" spans="10:18">
      <c r="J243" s="49"/>
      <c r="N243" t="str">
        <f t="shared" si="15"/>
        <v/>
      </c>
      <c r="O243" t="str">
        <f t="shared" si="16"/>
        <v xml:space="preserve"> </v>
      </c>
      <c r="P243" t="str">
        <f t="shared" si="17"/>
        <v/>
      </c>
      <c r="Q243" t="str">
        <f t="shared" si="18"/>
        <v/>
      </c>
      <c r="R243" t="str">
        <f t="shared" si="19"/>
        <v/>
      </c>
    </row>
    <row r="244" spans="10:18">
      <c r="J244" s="49"/>
      <c r="N244" t="str">
        <f t="shared" si="15"/>
        <v/>
      </c>
      <c r="O244" t="str">
        <f t="shared" si="16"/>
        <v xml:space="preserve"> </v>
      </c>
      <c r="P244" t="str">
        <f t="shared" si="17"/>
        <v/>
      </c>
      <c r="Q244" t="str">
        <f t="shared" si="18"/>
        <v/>
      </c>
      <c r="R244" t="str">
        <f t="shared" si="19"/>
        <v/>
      </c>
    </row>
    <row r="245" spans="10:18">
      <c r="J245" s="49"/>
      <c r="N245" t="str">
        <f t="shared" si="15"/>
        <v/>
      </c>
      <c r="O245" t="str">
        <f t="shared" si="16"/>
        <v xml:space="preserve"> </v>
      </c>
      <c r="P245" t="str">
        <f t="shared" si="17"/>
        <v/>
      </c>
      <c r="Q245" t="str">
        <f t="shared" si="18"/>
        <v/>
      </c>
      <c r="R245" t="str">
        <f t="shared" si="19"/>
        <v/>
      </c>
    </row>
    <row r="246" spans="10:18">
      <c r="J246" s="49"/>
      <c r="N246" t="str">
        <f t="shared" si="15"/>
        <v/>
      </c>
      <c r="O246" t="str">
        <f t="shared" si="16"/>
        <v xml:space="preserve"> </v>
      </c>
      <c r="P246" t="str">
        <f t="shared" si="17"/>
        <v/>
      </c>
      <c r="Q246" t="str">
        <f t="shared" si="18"/>
        <v/>
      </c>
      <c r="R246" t="str">
        <f t="shared" si="19"/>
        <v/>
      </c>
    </row>
    <row r="247" spans="10:18">
      <c r="J247" s="49"/>
      <c r="N247" t="str">
        <f t="shared" si="15"/>
        <v/>
      </c>
      <c r="O247" t="str">
        <f t="shared" si="16"/>
        <v xml:space="preserve"> </v>
      </c>
      <c r="P247" t="str">
        <f t="shared" si="17"/>
        <v/>
      </c>
      <c r="Q247" t="str">
        <f t="shared" si="18"/>
        <v/>
      </c>
      <c r="R247" t="str">
        <f t="shared" si="19"/>
        <v/>
      </c>
    </row>
    <row r="248" spans="10:18">
      <c r="J248" s="49"/>
      <c r="N248" t="str">
        <f t="shared" si="15"/>
        <v/>
      </c>
      <c r="O248" t="str">
        <f t="shared" si="16"/>
        <v xml:space="preserve"> </v>
      </c>
      <c r="P248" t="str">
        <f t="shared" si="17"/>
        <v/>
      </c>
      <c r="Q248" t="str">
        <f t="shared" si="18"/>
        <v/>
      </c>
      <c r="R248" t="str">
        <f t="shared" si="19"/>
        <v/>
      </c>
    </row>
    <row r="249" spans="10:18">
      <c r="J249" s="49"/>
      <c r="N249" t="str">
        <f t="shared" si="15"/>
        <v/>
      </c>
      <c r="O249" t="str">
        <f t="shared" si="16"/>
        <v xml:space="preserve"> </v>
      </c>
      <c r="P249" t="str">
        <f t="shared" si="17"/>
        <v/>
      </c>
      <c r="Q249" t="str">
        <f t="shared" si="18"/>
        <v/>
      </c>
      <c r="R249" t="str">
        <f t="shared" si="19"/>
        <v/>
      </c>
    </row>
    <row r="250" spans="10:18">
      <c r="J250" s="49"/>
      <c r="N250" t="str">
        <f t="shared" si="15"/>
        <v/>
      </c>
      <c r="O250" t="str">
        <f t="shared" si="16"/>
        <v xml:space="preserve"> </v>
      </c>
      <c r="P250" t="str">
        <f t="shared" si="17"/>
        <v/>
      </c>
      <c r="Q250" t="str">
        <f t="shared" si="18"/>
        <v/>
      </c>
      <c r="R250" t="str">
        <f t="shared" si="19"/>
        <v/>
      </c>
    </row>
    <row r="251" spans="10:18">
      <c r="J251" s="49"/>
      <c r="N251" t="str">
        <f t="shared" si="15"/>
        <v/>
      </c>
      <c r="O251" t="str">
        <f t="shared" si="16"/>
        <v xml:space="preserve"> </v>
      </c>
      <c r="P251" t="str">
        <f t="shared" si="17"/>
        <v/>
      </c>
      <c r="Q251" t="str">
        <f t="shared" si="18"/>
        <v/>
      </c>
      <c r="R251" t="str">
        <f t="shared" si="19"/>
        <v/>
      </c>
    </row>
    <row r="252" spans="10:18">
      <c r="J252" s="49"/>
      <c r="N252" t="str">
        <f t="shared" si="15"/>
        <v/>
      </c>
      <c r="O252" t="str">
        <f t="shared" si="16"/>
        <v xml:space="preserve"> </v>
      </c>
      <c r="P252" t="str">
        <f t="shared" si="17"/>
        <v/>
      </c>
      <c r="Q252" t="str">
        <f t="shared" si="18"/>
        <v/>
      </c>
      <c r="R252" t="str">
        <f t="shared" si="19"/>
        <v/>
      </c>
    </row>
    <row r="253" spans="10:18">
      <c r="J253" s="49"/>
      <c r="N253" t="str">
        <f t="shared" si="15"/>
        <v/>
      </c>
      <c r="O253" t="str">
        <f t="shared" si="16"/>
        <v xml:space="preserve"> </v>
      </c>
      <c r="P253" t="str">
        <f t="shared" si="17"/>
        <v/>
      </c>
      <c r="Q253" t="str">
        <f t="shared" si="18"/>
        <v/>
      </c>
      <c r="R253" t="str">
        <f t="shared" si="19"/>
        <v/>
      </c>
    </row>
    <row r="254" spans="10:18">
      <c r="J254" s="49"/>
      <c r="N254" t="str">
        <f t="shared" si="15"/>
        <v/>
      </c>
      <c r="O254" t="str">
        <f t="shared" si="16"/>
        <v xml:space="preserve"> </v>
      </c>
      <c r="P254" t="str">
        <f t="shared" si="17"/>
        <v/>
      </c>
      <c r="Q254" t="str">
        <f t="shared" si="18"/>
        <v/>
      </c>
      <c r="R254" t="str">
        <f t="shared" si="19"/>
        <v/>
      </c>
    </row>
    <row r="255" spans="10:18">
      <c r="J255" s="49"/>
      <c r="N255" t="str">
        <f t="shared" si="15"/>
        <v/>
      </c>
      <c r="O255" t="str">
        <f t="shared" si="16"/>
        <v xml:space="preserve"> </v>
      </c>
      <c r="P255" t="str">
        <f t="shared" si="17"/>
        <v/>
      </c>
      <c r="Q255" t="str">
        <f t="shared" si="18"/>
        <v/>
      </c>
      <c r="R255" t="str">
        <f t="shared" si="19"/>
        <v/>
      </c>
    </row>
    <row r="256" spans="10:18">
      <c r="J256" s="49"/>
      <c r="N256" t="str">
        <f t="shared" si="15"/>
        <v/>
      </c>
      <c r="O256" t="str">
        <f t="shared" si="16"/>
        <v xml:space="preserve"> </v>
      </c>
      <c r="P256" t="str">
        <f t="shared" si="17"/>
        <v/>
      </c>
      <c r="Q256" t="str">
        <f t="shared" si="18"/>
        <v/>
      </c>
      <c r="R256" t="str">
        <f t="shared" si="19"/>
        <v/>
      </c>
    </row>
    <row r="257" spans="10:18">
      <c r="J257" s="49"/>
      <c r="N257" t="str">
        <f t="shared" si="15"/>
        <v/>
      </c>
      <c r="O257" t="str">
        <f t="shared" si="16"/>
        <v xml:space="preserve"> </v>
      </c>
      <c r="P257" t="str">
        <f t="shared" si="17"/>
        <v/>
      </c>
      <c r="Q257" t="str">
        <f t="shared" si="18"/>
        <v/>
      </c>
      <c r="R257" t="str">
        <f t="shared" si="19"/>
        <v/>
      </c>
    </row>
    <row r="258" spans="10:18">
      <c r="J258" s="49"/>
      <c r="N258" t="str">
        <f t="shared" si="15"/>
        <v/>
      </c>
      <c r="O258" t="str">
        <f t="shared" si="16"/>
        <v xml:space="preserve"> </v>
      </c>
      <c r="P258" t="str">
        <f t="shared" si="17"/>
        <v/>
      </c>
      <c r="Q258" t="str">
        <f t="shared" si="18"/>
        <v/>
      </c>
      <c r="R258" t="str">
        <f t="shared" si="19"/>
        <v/>
      </c>
    </row>
    <row r="259" spans="10:18">
      <c r="J259" s="49"/>
      <c r="N259" t="str">
        <f t="shared" si="15"/>
        <v/>
      </c>
      <c r="O259" t="str">
        <f t="shared" si="16"/>
        <v xml:space="preserve"> </v>
      </c>
      <c r="P259" t="str">
        <f t="shared" si="17"/>
        <v/>
      </c>
      <c r="Q259" t="str">
        <f t="shared" si="18"/>
        <v/>
      </c>
      <c r="R259" t="str">
        <f t="shared" si="19"/>
        <v/>
      </c>
    </row>
    <row r="260" spans="10:18">
      <c r="J260" s="49"/>
      <c r="N260" t="str">
        <f t="shared" ref="N260:N323" si="20">IF(G260="","",_xlfn.IFS(LEN(G260)=14,"2",LEN(G260)=11,"1"))</f>
        <v/>
      </c>
      <c r="O260" t="str">
        <f t="shared" ref="O260:O323" si="21">" "&amp;RIGHT(LEFT(L260,3),2)</f>
        <v xml:space="preserve"> </v>
      </c>
      <c r="P260" t="str">
        <f t="shared" ref="P260:P323" si="22">IF(G260="","",TEXT(G260,"00000000000000"))</f>
        <v/>
      </c>
      <c r="Q260" t="str">
        <f t="shared" ref="Q260:Q323" si="23">TEXT(IF(F260="","",ROW(F260)-2),"00000")</f>
        <v/>
      </c>
      <c r="R260" t="str">
        <f t="shared" ref="R260:R323" si="24">_xlfn.IFS(J260="","",J260="PIX","45",J260="TED","03",J260="PIX QR CODE","47")</f>
        <v/>
      </c>
    </row>
    <row r="261" spans="10:18">
      <c r="J261" s="49"/>
      <c r="N261" t="str">
        <f t="shared" si="20"/>
        <v/>
      </c>
      <c r="O261" t="str">
        <f t="shared" si="21"/>
        <v xml:space="preserve"> </v>
      </c>
      <c r="P261" t="str">
        <f t="shared" si="22"/>
        <v/>
      </c>
      <c r="Q261" t="str">
        <f t="shared" si="23"/>
        <v/>
      </c>
      <c r="R261" t="str">
        <f t="shared" si="24"/>
        <v/>
      </c>
    </row>
    <row r="262" spans="10:18">
      <c r="J262" s="49"/>
      <c r="N262" t="str">
        <f t="shared" si="20"/>
        <v/>
      </c>
      <c r="O262" t="str">
        <f t="shared" si="21"/>
        <v xml:space="preserve"> </v>
      </c>
      <c r="P262" t="str">
        <f t="shared" si="22"/>
        <v/>
      </c>
      <c r="Q262" t="str">
        <f t="shared" si="23"/>
        <v/>
      </c>
      <c r="R262" t="str">
        <f t="shared" si="24"/>
        <v/>
      </c>
    </row>
    <row r="263" spans="10:18">
      <c r="J263" s="49"/>
      <c r="N263" t="str">
        <f t="shared" si="20"/>
        <v/>
      </c>
      <c r="O263" t="str">
        <f t="shared" si="21"/>
        <v xml:space="preserve"> </v>
      </c>
      <c r="P263" t="str">
        <f t="shared" si="22"/>
        <v/>
      </c>
      <c r="Q263" t="str">
        <f t="shared" si="23"/>
        <v/>
      </c>
      <c r="R263" t="str">
        <f t="shared" si="24"/>
        <v/>
      </c>
    </row>
    <row r="264" spans="10:18">
      <c r="J264" s="49"/>
      <c r="N264" t="str">
        <f t="shared" si="20"/>
        <v/>
      </c>
      <c r="O264" t="str">
        <f t="shared" si="21"/>
        <v xml:space="preserve"> </v>
      </c>
      <c r="P264" t="str">
        <f t="shared" si="22"/>
        <v/>
      </c>
      <c r="Q264" t="str">
        <f t="shared" si="23"/>
        <v/>
      </c>
      <c r="R264" t="str">
        <f t="shared" si="24"/>
        <v/>
      </c>
    </row>
    <row r="265" spans="10:18">
      <c r="J265" s="49"/>
      <c r="N265" t="str">
        <f t="shared" si="20"/>
        <v/>
      </c>
      <c r="O265" t="str">
        <f t="shared" si="21"/>
        <v xml:space="preserve"> </v>
      </c>
      <c r="P265" t="str">
        <f t="shared" si="22"/>
        <v/>
      </c>
      <c r="Q265" t="str">
        <f t="shared" si="23"/>
        <v/>
      </c>
      <c r="R265" t="str">
        <f t="shared" si="24"/>
        <v/>
      </c>
    </row>
    <row r="266" spans="10:18">
      <c r="J266" s="49"/>
      <c r="N266" t="str">
        <f t="shared" si="20"/>
        <v/>
      </c>
      <c r="O266" t="str">
        <f t="shared" si="21"/>
        <v xml:space="preserve"> </v>
      </c>
      <c r="P266" t="str">
        <f t="shared" si="22"/>
        <v/>
      </c>
      <c r="Q266" t="str">
        <f t="shared" si="23"/>
        <v/>
      </c>
      <c r="R266" t="str">
        <f t="shared" si="24"/>
        <v/>
      </c>
    </row>
    <row r="267" spans="10:18">
      <c r="J267" s="49"/>
      <c r="N267" t="str">
        <f t="shared" si="20"/>
        <v/>
      </c>
      <c r="O267" t="str">
        <f t="shared" si="21"/>
        <v xml:space="preserve"> </v>
      </c>
      <c r="P267" t="str">
        <f t="shared" si="22"/>
        <v/>
      </c>
      <c r="Q267" t="str">
        <f t="shared" si="23"/>
        <v/>
      </c>
      <c r="R267" t="str">
        <f t="shared" si="24"/>
        <v/>
      </c>
    </row>
    <row r="268" spans="10:18">
      <c r="J268" s="49"/>
      <c r="N268" t="str">
        <f t="shared" si="20"/>
        <v/>
      </c>
      <c r="O268" t="str">
        <f t="shared" si="21"/>
        <v xml:space="preserve"> </v>
      </c>
      <c r="P268" t="str">
        <f t="shared" si="22"/>
        <v/>
      </c>
      <c r="Q268" t="str">
        <f t="shared" si="23"/>
        <v/>
      </c>
      <c r="R268" t="str">
        <f t="shared" si="24"/>
        <v/>
      </c>
    </row>
    <row r="269" spans="10:18">
      <c r="J269" s="49"/>
      <c r="N269" t="str">
        <f t="shared" si="20"/>
        <v/>
      </c>
      <c r="O269" t="str">
        <f t="shared" si="21"/>
        <v xml:space="preserve"> </v>
      </c>
      <c r="P269" t="str">
        <f t="shared" si="22"/>
        <v/>
      </c>
      <c r="Q269" t="str">
        <f t="shared" si="23"/>
        <v/>
      </c>
      <c r="R269" t="str">
        <f t="shared" si="24"/>
        <v/>
      </c>
    </row>
    <row r="270" spans="10:18">
      <c r="J270" s="49"/>
      <c r="N270" t="str">
        <f t="shared" si="20"/>
        <v/>
      </c>
      <c r="O270" t="str">
        <f t="shared" si="21"/>
        <v xml:space="preserve"> </v>
      </c>
      <c r="P270" t="str">
        <f t="shared" si="22"/>
        <v/>
      </c>
      <c r="Q270" t="str">
        <f t="shared" si="23"/>
        <v/>
      </c>
      <c r="R270" t="str">
        <f t="shared" si="24"/>
        <v/>
      </c>
    </row>
    <row r="271" spans="10:18">
      <c r="J271" s="49"/>
      <c r="N271" t="str">
        <f t="shared" si="20"/>
        <v/>
      </c>
      <c r="O271" t="str">
        <f t="shared" si="21"/>
        <v xml:space="preserve"> </v>
      </c>
      <c r="P271" t="str">
        <f t="shared" si="22"/>
        <v/>
      </c>
      <c r="Q271" t="str">
        <f t="shared" si="23"/>
        <v/>
      </c>
      <c r="R271" t="str">
        <f t="shared" si="24"/>
        <v/>
      </c>
    </row>
    <row r="272" spans="10:18">
      <c r="J272" s="49"/>
      <c r="N272" t="str">
        <f t="shared" si="20"/>
        <v/>
      </c>
      <c r="O272" t="str">
        <f t="shared" si="21"/>
        <v xml:space="preserve"> </v>
      </c>
      <c r="P272" t="str">
        <f t="shared" si="22"/>
        <v/>
      </c>
      <c r="Q272" t="str">
        <f t="shared" si="23"/>
        <v/>
      </c>
      <c r="R272" t="str">
        <f t="shared" si="24"/>
        <v/>
      </c>
    </row>
    <row r="273" spans="10:18">
      <c r="J273" s="49"/>
      <c r="N273" t="str">
        <f t="shared" si="20"/>
        <v/>
      </c>
      <c r="O273" t="str">
        <f t="shared" si="21"/>
        <v xml:space="preserve"> </v>
      </c>
      <c r="P273" t="str">
        <f t="shared" si="22"/>
        <v/>
      </c>
      <c r="Q273" t="str">
        <f t="shared" si="23"/>
        <v/>
      </c>
      <c r="R273" t="str">
        <f t="shared" si="24"/>
        <v/>
      </c>
    </row>
    <row r="274" spans="10:18">
      <c r="J274" s="49"/>
      <c r="N274" t="str">
        <f t="shared" si="20"/>
        <v/>
      </c>
      <c r="O274" t="str">
        <f t="shared" si="21"/>
        <v xml:space="preserve"> </v>
      </c>
      <c r="P274" t="str">
        <f t="shared" si="22"/>
        <v/>
      </c>
      <c r="Q274" t="str">
        <f t="shared" si="23"/>
        <v/>
      </c>
      <c r="R274" t="str">
        <f t="shared" si="24"/>
        <v/>
      </c>
    </row>
    <row r="275" spans="10:18">
      <c r="J275" s="49"/>
      <c r="N275" t="str">
        <f t="shared" si="20"/>
        <v/>
      </c>
      <c r="O275" t="str">
        <f t="shared" si="21"/>
        <v xml:space="preserve"> </v>
      </c>
      <c r="P275" t="str">
        <f t="shared" si="22"/>
        <v/>
      </c>
      <c r="Q275" t="str">
        <f t="shared" si="23"/>
        <v/>
      </c>
      <c r="R275" t="str">
        <f t="shared" si="24"/>
        <v/>
      </c>
    </row>
    <row r="276" spans="10:18">
      <c r="J276" s="49"/>
      <c r="N276" t="str">
        <f t="shared" si="20"/>
        <v/>
      </c>
      <c r="O276" t="str">
        <f t="shared" si="21"/>
        <v xml:space="preserve"> </v>
      </c>
      <c r="P276" t="str">
        <f t="shared" si="22"/>
        <v/>
      </c>
      <c r="Q276" t="str">
        <f t="shared" si="23"/>
        <v/>
      </c>
      <c r="R276" t="str">
        <f t="shared" si="24"/>
        <v/>
      </c>
    </row>
    <row r="277" spans="10:18">
      <c r="J277" s="49"/>
      <c r="N277" t="str">
        <f t="shared" si="20"/>
        <v/>
      </c>
      <c r="O277" t="str">
        <f t="shared" si="21"/>
        <v xml:space="preserve"> </v>
      </c>
      <c r="P277" t="str">
        <f t="shared" si="22"/>
        <v/>
      </c>
      <c r="Q277" t="str">
        <f t="shared" si="23"/>
        <v/>
      </c>
      <c r="R277" t="str">
        <f t="shared" si="24"/>
        <v/>
      </c>
    </row>
    <row r="278" spans="10:18">
      <c r="J278" s="49"/>
      <c r="N278" t="str">
        <f t="shared" si="20"/>
        <v/>
      </c>
      <c r="O278" t="str">
        <f t="shared" si="21"/>
        <v xml:space="preserve"> </v>
      </c>
      <c r="P278" t="str">
        <f t="shared" si="22"/>
        <v/>
      </c>
      <c r="Q278" t="str">
        <f t="shared" si="23"/>
        <v/>
      </c>
      <c r="R278" t="str">
        <f t="shared" si="24"/>
        <v/>
      </c>
    </row>
    <row r="279" spans="10:18">
      <c r="J279" s="49"/>
      <c r="N279" t="str">
        <f t="shared" si="20"/>
        <v/>
      </c>
      <c r="O279" t="str">
        <f t="shared" si="21"/>
        <v xml:space="preserve"> </v>
      </c>
      <c r="P279" t="str">
        <f t="shared" si="22"/>
        <v/>
      </c>
      <c r="Q279" t="str">
        <f t="shared" si="23"/>
        <v/>
      </c>
      <c r="R279" t="str">
        <f t="shared" si="24"/>
        <v/>
      </c>
    </row>
    <row r="280" spans="10:18">
      <c r="J280" s="49"/>
      <c r="N280" t="str">
        <f t="shared" si="20"/>
        <v/>
      </c>
      <c r="O280" t="str">
        <f t="shared" si="21"/>
        <v xml:space="preserve"> </v>
      </c>
      <c r="P280" t="str">
        <f t="shared" si="22"/>
        <v/>
      </c>
      <c r="Q280" t="str">
        <f t="shared" si="23"/>
        <v/>
      </c>
      <c r="R280" t="str">
        <f t="shared" si="24"/>
        <v/>
      </c>
    </row>
    <row r="281" spans="10:18">
      <c r="J281" s="49"/>
      <c r="N281" t="str">
        <f t="shared" si="20"/>
        <v/>
      </c>
      <c r="O281" t="str">
        <f t="shared" si="21"/>
        <v xml:space="preserve"> </v>
      </c>
      <c r="P281" t="str">
        <f t="shared" si="22"/>
        <v/>
      </c>
      <c r="Q281" t="str">
        <f t="shared" si="23"/>
        <v/>
      </c>
      <c r="R281" t="str">
        <f t="shared" si="24"/>
        <v/>
      </c>
    </row>
    <row r="282" spans="10:18">
      <c r="J282" s="49"/>
      <c r="N282" t="str">
        <f t="shared" si="20"/>
        <v/>
      </c>
      <c r="O282" t="str">
        <f t="shared" si="21"/>
        <v xml:space="preserve"> </v>
      </c>
      <c r="P282" t="str">
        <f t="shared" si="22"/>
        <v/>
      </c>
      <c r="Q282" t="str">
        <f t="shared" si="23"/>
        <v/>
      </c>
      <c r="R282" t="str">
        <f t="shared" si="24"/>
        <v/>
      </c>
    </row>
    <row r="283" spans="10:18">
      <c r="J283" s="49"/>
      <c r="N283" t="str">
        <f t="shared" si="20"/>
        <v/>
      </c>
      <c r="O283" t="str">
        <f t="shared" si="21"/>
        <v xml:space="preserve"> </v>
      </c>
      <c r="P283" t="str">
        <f t="shared" si="22"/>
        <v/>
      </c>
      <c r="Q283" t="str">
        <f t="shared" si="23"/>
        <v/>
      </c>
      <c r="R283" t="str">
        <f t="shared" si="24"/>
        <v/>
      </c>
    </row>
    <row r="284" spans="10:18">
      <c r="J284" s="49"/>
      <c r="N284" t="str">
        <f t="shared" si="20"/>
        <v/>
      </c>
      <c r="O284" t="str">
        <f t="shared" si="21"/>
        <v xml:space="preserve"> </v>
      </c>
      <c r="P284" t="str">
        <f t="shared" si="22"/>
        <v/>
      </c>
      <c r="Q284" t="str">
        <f t="shared" si="23"/>
        <v/>
      </c>
      <c r="R284" t="str">
        <f t="shared" si="24"/>
        <v/>
      </c>
    </row>
    <row r="285" spans="10:18">
      <c r="J285" s="49"/>
      <c r="N285" t="str">
        <f t="shared" si="20"/>
        <v/>
      </c>
      <c r="O285" t="str">
        <f t="shared" si="21"/>
        <v xml:space="preserve"> </v>
      </c>
      <c r="P285" t="str">
        <f t="shared" si="22"/>
        <v/>
      </c>
      <c r="Q285" t="str">
        <f t="shared" si="23"/>
        <v/>
      </c>
      <c r="R285" t="str">
        <f t="shared" si="24"/>
        <v/>
      </c>
    </row>
    <row r="286" spans="10:18">
      <c r="J286" s="49"/>
      <c r="N286" t="str">
        <f t="shared" si="20"/>
        <v/>
      </c>
      <c r="O286" t="str">
        <f t="shared" si="21"/>
        <v xml:space="preserve"> </v>
      </c>
      <c r="P286" t="str">
        <f t="shared" si="22"/>
        <v/>
      </c>
      <c r="Q286" t="str">
        <f t="shared" si="23"/>
        <v/>
      </c>
      <c r="R286" t="str">
        <f t="shared" si="24"/>
        <v/>
      </c>
    </row>
    <row r="287" spans="10:18">
      <c r="J287" s="49"/>
      <c r="N287" t="str">
        <f t="shared" si="20"/>
        <v/>
      </c>
      <c r="O287" t="str">
        <f t="shared" si="21"/>
        <v xml:space="preserve"> </v>
      </c>
      <c r="P287" t="str">
        <f t="shared" si="22"/>
        <v/>
      </c>
      <c r="Q287" t="str">
        <f t="shared" si="23"/>
        <v/>
      </c>
      <c r="R287" t="str">
        <f t="shared" si="24"/>
        <v/>
      </c>
    </row>
    <row r="288" spans="10:18">
      <c r="J288" s="49"/>
      <c r="N288" t="str">
        <f t="shared" si="20"/>
        <v/>
      </c>
      <c r="O288" t="str">
        <f t="shared" si="21"/>
        <v xml:space="preserve"> </v>
      </c>
      <c r="P288" t="str">
        <f t="shared" si="22"/>
        <v/>
      </c>
      <c r="Q288" t="str">
        <f t="shared" si="23"/>
        <v/>
      </c>
      <c r="R288" t="str">
        <f t="shared" si="24"/>
        <v/>
      </c>
    </row>
    <row r="289" spans="10:18">
      <c r="J289" s="49"/>
      <c r="N289" t="str">
        <f t="shared" si="20"/>
        <v/>
      </c>
      <c r="O289" t="str">
        <f t="shared" si="21"/>
        <v xml:space="preserve"> </v>
      </c>
      <c r="P289" t="str">
        <f t="shared" si="22"/>
        <v/>
      </c>
      <c r="Q289" t="str">
        <f t="shared" si="23"/>
        <v/>
      </c>
      <c r="R289" t="str">
        <f t="shared" si="24"/>
        <v/>
      </c>
    </row>
    <row r="290" spans="10:18">
      <c r="J290" s="49"/>
      <c r="N290" t="str">
        <f t="shared" si="20"/>
        <v/>
      </c>
      <c r="O290" t="str">
        <f t="shared" si="21"/>
        <v xml:space="preserve"> </v>
      </c>
      <c r="P290" t="str">
        <f t="shared" si="22"/>
        <v/>
      </c>
      <c r="Q290" t="str">
        <f t="shared" si="23"/>
        <v/>
      </c>
      <c r="R290" t="str">
        <f t="shared" si="24"/>
        <v/>
      </c>
    </row>
    <row r="291" spans="10:18">
      <c r="J291" s="49"/>
      <c r="N291" t="str">
        <f t="shared" si="20"/>
        <v/>
      </c>
      <c r="O291" t="str">
        <f t="shared" si="21"/>
        <v xml:space="preserve"> </v>
      </c>
      <c r="P291" t="str">
        <f t="shared" si="22"/>
        <v/>
      </c>
      <c r="Q291" t="str">
        <f t="shared" si="23"/>
        <v/>
      </c>
      <c r="R291" t="str">
        <f t="shared" si="24"/>
        <v/>
      </c>
    </row>
    <row r="292" spans="10:18">
      <c r="J292" s="49"/>
      <c r="N292" t="str">
        <f t="shared" si="20"/>
        <v/>
      </c>
      <c r="O292" t="str">
        <f t="shared" si="21"/>
        <v xml:space="preserve"> </v>
      </c>
      <c r="P292" t="str">
        <f t="shared" si="22"/>
        <v/>
      </c>
      <c r="Q292" t="str">
        <f t="shared" si="23"/>
        <v/>
      </c>
      <c r="R292" t="str">
        <f t="shared" si="24"/>
        <v/>
      </c>
    </row>
    <row r="293" spans="10:18">
      <c r="J293" s="49"/>
      <c r="N293" t="str">
        <f t="shared" si="20"/>
        <v/>
      </c>
      <c r="O293" t="str">
        <f t="shared" si="21"/>
        <v xml:space="preserve"> </v>
      </c>
      <c r="P293" t="str">
        <f t="shared" si="22"/>
        <v/>
      </c>
      <c r="Q293" t="str">
        <f t="shared" si="23"/>
        <v/>
      </c>
      <c r="R293" t="str">
        <f t="shared" si="24"/>
        <v/>
      </c>
    </row>
    <row r="294" spans="10:18">
      <c r="J294" s="49"/>
      <c r="N294" t="str">
        <f t="shared" si="20"/>
        <v/>
      </c>
      <c r="O294" t="str">
        <f t="shared" si="21"/>
        <v xml:space="preserve"> </v>
      </c>
      <c r="P294" t="str">
        <f t="shared" si="22"/>
        <v/>
      </c>
      <c r="Q294" t="str">
        <f t="shared" si="23"/>
        <v/>
      </c>
      <c r="R294" t="str">
        <f t="shared" si="24"/>
        <v/>
      </c>
    </row>
    <row r="295" spans="10:18">
      <c r="J295" s="49"/>
      <c r="N295" t="str">
        <f t="shared" si="20"/>
        <v/>
      </c>
      <c r="O295" t="str">
        <f t="shared" si="21"/>
        <v xml:space="preserve"> </v>
      </c>
      <c r="P295" t="str">
        <f t="shared" si="22"/>
        <v/>
      </c>
      <c r="Q295" t="str">
        <f t="shared" si="23"/>
        <v/>
      </c>
      <c r="R295" t="str">
        <f t="shared" si="24"/>
        <v/>
      </c>
    </row>
    <row r="296" spans="10:18">
      <c r="J296" s="49"/>
      <c r="N296" t="str">
        <f t="shared" si="20"/>
        <v/>
      </c>
      <c r="O296" t="str">
        <f t="shared" si="21"/>
        <v xml:space="preserve"> </v>
      </c>
      <c r="P296" t="str">
        <f t="shared" si="22"/>
        <v/>
      </c>
      <c r="Q296" t="str">
        <f t="shared" si="23"/>
        <v/>
      </c>
      <c r="R296" t="str">
        <f t="shared" si="24"/>
        <v/>
      </c>
    </row>
    <row r="297" spans="10:18">
      <c r="J297" s="49"/>
      <c r="N297" t="str">
        <f t="shared" si="20"/>
        <v/>
      </c>
      <c r="O297" t="str">
        <f t="shared" si="21"/>
        <v xml:space="preserve"> </v>
      </c>
      <c r="P297" t="str">
        <f t="shared" si="22"/>
        <v/>
      </c>
      <c r="Q297" t="str">
        <f t="shared" si="23"/>
        <v/>
      </c>
      <c r="R297" t="str">
        <f t="shared" si="24"/>
        <v/>
      </c>
    </row>
    <row r="298" spans="10:18">
      <c r="J298" s="49"/>
      <c r="N298" t="str">
        <f t="shared" si="20"/>
        <v/>
      </c>
      <c r="O298" t="str">
        <f t="shared" si="21"/>
        <v xml:space="preserve"> </v>
      </c>
      <c r="P298" t="str">
        <f t="shared" si="22"/>
        <v/>
      </c>
      <c r="Q298" t="str">
        <f t="shared" si="23"/>
        <v/>
      </c>
      <c r="R298" t="str">
        <f t="shared" si="24"/>
        <v/>
      </c>
    </row>
    <row r="299" spans="10:18">
      <c r="J299" s="49"/>
      <c r="N299" t="str">
        <f t="shared" si="20"/>
        <v/>
      </c>
      <c r="O299" t="str">
        <f t="shared" si="21"/>
        <v xml:space="preserve"> </v>
      </c>
      <c r="P299" t="str">
        <f t="shared" si="22"/>
        <v/>
      </c>
      <c r="Q299" t="str">
        <f t="shared" si="23"/>
        <v/>
      </c>
      <c r="R299" t="str">
        <f t="shared" si="24"/>
        <v/>
      </c>
    </row>
    <row r="300" spans="10:18">
      <c r="J300" s="49"/>
      <c r="N300" t="str">
        <f t="shared" si="20"/>
        <v/>
      </c>
      <c r="O300" t="str">
        <f t="shared" si="21"/>
        <v xml:space="preserve"> </v>
      </c>
      <c r="P300" t="str">
        <f t="shared" si="22"/>
        <v/>
      </c>
      <c r="Q300" t="str">
        <f t="shared" si="23"/>
        <v/>
      </c>
      <c r="R300" t="str">
        <f t="shared" si="24"/>
        <v/>
      </c>
    </row>
    <row r="301" spans="10:18">
      <c r="J301" s="49"/>
      <c r="N301" t="str">
        <f t="shared" si="20"/>
        <v/>
      </c>
      <c r="O301" t="str">
        <f t="shared" si="21"/>
        <v xml:space="preserve"> </v>
      </c>
      <c r="P301" t="str">
        <f t="shared" si="22"/>
        <v/>
      </c>
      <c r="Q301" t="str">
        <f t="shared" si="23"/>
        <v/>
      </c>
      <c r="R301" t="str">
        <f t="shared" si="24"/>
        <v/>
      </c>
    </row>
    <row r="302" spans="10:18">
      <c r="J302" s="49"/>
      <c r="N302" t="str">
        <f t="shared" si="20"/>
        <v/>
      </c>
      <c r="O302" t="str">
        <f t="shared" si="21"/>
        <v xml:space="preserve"> </v>
      </c>
      <c r="P302" t="str">
        <f t="shared" si="22"/>
        <v/>
      </c>
      <c r="Q302" t="str">
        <f t="shared" si="23"/>
        <v/>
      </c>
      <c r="R302" t="str">
        <f t="shared" si="24"/>
        <v/>
      </c>
    </row>
    <row r="303" spans="10:18">
      <c r="J303" s="49"/>
      <c r="N303" t="str">
        <f t="shared" si="20"/>
        <v/>
      </c>
      <c r="O303" t="str">
        <f t="shared" si="21"/>
        <v xml:space="preserve"> </v>
      </c>
      <c r="P303" t="str">
        <f t="shared" si="22"/>
        <v/>
      </c>
      <c r="Q303" t="str">
        <f t="shared" si="23"/>
        <v/>
      </c>
      <c r="R303" t="str">
        <f t="shared" si="24"/>
        <v/>
      </c>
    </row>
    <row r="304" spans="10:18">
      <c r="J304" s="49"/>
      <c r="N304" t="str">
        <f t="shared" si="20"/>
        <v/>
      </c>
      <c r="O304" t="str">
        <f t="shared" si="21"/>
        <v xml:space="preserve"> </v>
      </c>
      <c r="P304" t="str">
        <f t="shared" si="22"/>
        <v/>
      </c>
      <c r="Q304" t="str">
        <f t="shared" si="23"/>
        <v/>
      </c>
      <c r="R304" t="str">
        <f t="shared" si="24"/>
        <v/>
      </c>
    </row>
    <row r="305" spans="10:18">
      <c r="J305" s="49"/>
      <c r="N305" t="str">
        <f t="shared" si="20"/>
        <v/>
      </c>
      <c r="O305" t="str">
        <f t="shared" si="21"/>
        <v xml:space="preserve"> </v>
      </c>
      <c r="P305" t="str">
        <f t="shared" si="22"/>
        <v/>
      </c>
      <c r="Q305" t="str">
        <f t="shared" si="23"/>
        <v/>
      </c>
      <c r="R305" t="str">
        <f t="shared" si="24"/>
        <v/>
      </c>
    </row>
    <row r="306" spans="10:18">
      <c r="J306" s="49"/>
      <c r="N306" t="str">
        <f t="shared" si="20"/>
        <v/>
      </c>
      <c r="O306" t="str">
        <f t="shared" si="21"/>
        <v xml:space="preserve"> </v>
      </c>
      <c r="P306" t="str">
        <f t="shared" si="22"/>
        <v/>
      </c>
      <c r="Q306" t="str">
        <f t="shared" si="23"/>
        <v/>
      </c>
      <c r="R306" t="str">
        <f t="shared" si="24"/>
        <v/>
      </c>
    </row>
    <row r="307" spans="10:18">
      <c r="J307" s="49"/>
      <c r="N307" t="str">
        <f t="shared" si="20"/>
        <v/>
      </c>
      <c r="O307" t="str">
        <f t="shared" si="21"/>
        <v xml:space="preserve"> </v>
      </c>
      <c r="P307" t="str">
        <f t="shared" si="22"/>
        <v/>
      </c>
      <c r="Q307" t="str">
        <f t="shared" si="23"/>
        <v/>
      </c>
      <c r="R307" t="str">
        <f t="shared" si="24"/>
        <v/>
      </c>
    </row>
    <row r="308" spans="10:18">
      <c r="J308" s="49"/>
      <c r="N308" t="str">
        <f t="shared" si="20"/>
        <v/>
      </c>
      <c r="O308" t="str">
        <f t="shared" si="21"/>
        <v xml:space="preserve"> </v>
      </c>
      <c r="P308" t="str">
        <f t="shared" si="22"/>
        <v/>
      </c>
      <c r="Q308" t="str">
        <f t="shared" si="23"/>
        <v/>
      </c>
      <c r="R308" t="str">
        <f t="shared" si="24"/>
        <v/>
      </c>
    </row>
    <row r="309" spans="10:18">
      <c r="J309" s="49"/>
      <c r="N309" t="str">
        <f t="shared" si="20"/>
        <v/>
      </c>
      <c r="O309" t="str">
        <f t="shared" si="21"/>
        <v xml:space="preserve"> </v>
      </c>
      <c r="P309" t="str">
        <f t="shared" si="22"/>
        <v/>
      </c>
      <c r="Q309" t="str">
        <f t="shared" si="23"/>
        <v/>
      </c>
      <c r="R309" t="str">
        <f t="shared" si="24"/>
        <v/>
      </c>
    </row>
    <row r="310" spans="10:18">
      <c r="J310" s="49"/>
      <c r="N310" t="str">
        <f t="shared" si="20"/>
        <v/>
      </c>
      <c r="O310" t="str">
        <f t="shared" si="21"/>
        <v xml:space="preserve"> </v>
      </c>
      <c r="P310" t="str">
        <f t="shared" si="22"/>
        <v/>
      </c>
      <c r="Q310" t="str">
        <f t="shared" si="23"/>
        <v/>
      </c>
      <c r="R310" t="str">
        <f t="shared" si="24"/>
        <v/>
      </c>
    </row>
    <row r="311" spans="10:18">
      <c r="J311" s="49"/>
      <c r="N311" t="str">
        <f t="shared" si="20"/>
        <v/>
      </c>
      <c r="O311" t="str">
        <f t="shared" si="21"/>
        <v xml:space="preserve"> </v>
      </c>
      <c r="P311" t="str">
        <f t="shared" si="22"/>
        <v/>
      </c>
      <c r="Q311" t="str">
        <f t="shared" si="23"/>
        <v/>
      </c>
      <c r="R311" t="str">
        <f t="shared" si="24"/>
        <v/>
      </c>
    </row>
    <row r="312" spans="10:18">
      <c r="J312" s="49"/>
      <c r="N312" t="str">
        <f t="shared" si="20"/>
        <v/>
      </c>
      <c r="O312" t="str">
        <f t="shared" si="21"/>
        <v xml:space="preserve"> </v>
      </c>
      <c r="P312" t="str">
        <f t="shared" si="22"/>
        <v/>
      </c>
      <c r="Q312" t="str">
        <f t="shared" si="23"/>
        <v/>
      </c>
      <c r="R312" t="str">
        <f t="shared" si="24"/>
        <v/>
      </c>
    </row>
    <row r="313" spans="10:18">
      <c r="J313" s="49"/>
      <c r="N313" t="str">
        <f t="shared" si="20"/>
        <v/>
      </c>
      <c r="O313" t="str">
        <f t="shared" si="21"/>
        <v xml:space="preserve"> </v>
      </c>
      <c r="P313" t="str">
        <f t="shared" si="22"/>
        <v/>
      </c>
      <c r="Q313" t="str">
        <f t="shared" si="23"/>
        <v/>
      </c>
      <c r="R313" t="str">
        <f t="shared" si="24"/>
        <v/>
      </c>
    </row>
    <row r="314" spans="10:18">
      <c r="J314" s="49"/>
      <c r="N314" t="str">
        <f t="shared" si="20"/>
        <v/>
      </c>
      <c r="O314" t="str">
        <f t="shared" si="21"/>
        <v xml:space="preserve"> </v>
      </c>
      <c r="P314" t="str">
        <f t="shared" si="22"/>
        <v/>
      </c>
      <c r="Q314" t="str">
        <f t="shared" si="23"/>
        <v/>
      </c>
      <c r="R314" t="str">
        <f t="shared" si="24"/>
        <v/>
      </c>
    </row>
    <row r="315" spans="10:18">
      <c r="J315" s="49"/>
      <c r="N315" t="str">
        <f t="shared" si="20"/>
        <v/>
      </c>
      <c r="O315" t="str">
        <f t="shared" si="21"/>
        <v xml:space="preserve"> </v>
      </c>
      <c r="P315" t="str">
        <f t="shared" si="22"/>
        <v/>
      </c>
      <c r="Q315" t="str">
        <f t="shared" si="23"/>
        <v/>
      </c>
      <c r="R315" t="str">
        <f t="shared" si="24"/>
        <v/>
      </c>
    </row>
    <row r="316" spans="10:18">
      <c r="J316" s="49"/>
      <c r="N316" t="str">
        <f t="shared" si="20"/>
        <v/>
      </c>
      <c r="O316" t="str">
        <f t="shared" si="21"/>
        <v xml:space="preserve"> </v>
      </c>
      <c r="P316" t="str">
        <f t="shared" si="22"/>
        <v/>
      </c>
      <c r="Q316" t="str">
        <f t="shared" si="23"/>
        <v/>
      </c>
      <c r="R316" t="str">
        <f t="shared" si="24"/>
        <v/>
      </c>
    </row>
    <row r="317" spans="10:18">
      <c r="J317" s="49"/>
      <c r="N317" t="str">
        <f t="shared" si="20"/>
        <v/>
      </c>
      <c r="O317" t="str">
        <f t="shared" si="21"/>
        <v xml:space="preserve"> </v>
      </c>
      <c r="P317" t="str">
        <f t="shared" si="22"/>
        <v/>
      </c>
      <c r="Q317" t="str">
        <f t="shared" si="23"/>
        <v/>
      </c>
      <c r="R317" t="str">
        <f t="shared" si="24"/>
        <v/>
      </c>
    </row>
    <row r="318" spans="10:18">
      <c r="J318" s="49"/>
      <c r="N318" t="str">
        <f t="shared" si="20"/>
        <v/>
      </c>
      <c r="O318" t="str">
        <f t="shared" si="21"/>
        <v xml:space="preserve"> </v>
      </c>
      <c r="P318" t="str">
        <f t="shared" si="22"/>
        <v/>
      </c>
      <c r="Q318" t="str">
        <f t="shared" si="23"/>
        <v/>
      </c>
      <c r="R318" t="str">
        <f t="shared" si="24"/>
        <v/>
      </c>
    </row>
    <row r="319" spans="10:18">
      <c r="J319" s="49"/>
      <c r="N319" t="str">
        <f t="shared" si="20"/>
        <v/>
      </c>
      <c r="O319" t="str">
        <f t="shared" si="21"/>
        <v xml:space="preserve"> </v>
      </c>
      <c r="P319" t="str">
        <f t="shared" si="22"/>
        <v/>
      </c>
      <c r="Q319" t="str">
        <f t="shared" si="23"/>
        <v/>
      </c>
      <c r="R319" t="str">
        <f t="shared" si="24"/>
        <v/>
      </c>
    </row>
    <row r="320" spans="10:18">
      <c r="J320" s="49"/>
      <c r="N320" t="str">
        <f t="shared" si="20"/>
        <v/>
      </c>
      <c r="O320" t="str">
        <f t="shared" si="21"/>
        <v xml:space="preserve"> </v>
      </c>
      <c r="P320" t="str">
        <f t="shared" si="22"/>
        <v/>
      </c>
      <c r="Q320" t="str">
        <f t="shared" si="23"/>
        <v/>
      </c>
      <c r="R320" t="str">
        <f t="shared" si="24"/>
        <v/>
      </c>
    </row>
    <row r="321" spans="10:18">
      <c r="J321" s="49"/>
      <c r="N321" t="str">
        <f t="shared" si="20"/>
        <v/>
      </c>
      <c r="O321" t="str">
        <f t="shared" si="21"/>
        <v xml:space="preserve"> </v>
      </c>
      <c r="P321" t="str">
        <f t="shared" si="22"/>
        <v/>
      </c>
      <c r="Q321" t="str">
        <f t="shared" si="23"/>
        <v/>
      </c>
      <c r="R321" t="str">
        <f t="shared" si="24"/>
        <v/>
      </c>
    </row>
    <row r="322" spans="10:18">
      <c r="J322" s="49"/>
      <c r="N322" t="str">
        <f t="shared" si="20"/>
        <v/>
      </c>
      <c r="O322" t="str">
        <f t="shared" si="21"/>
        <v xml:space="preserve"> </v>
      </c>
      <c r="P322" t="str">
        <f t="shared" si="22"/>
        <v/>
      </c>
      <c r="Q322" t="str">
        <f t="shared" si="23"/>
        <v/>
      </c>
      <c r="R322" t="str">
        <f t="shared" si="24"/>
        <v/>
      </c>
    </row>
    <row r="323" spans="10:18">
      <c r="J323" s="49"/>
      <c r="N323" t="str">
        <f t="shared" si="20"/>
        <v/>
      </c>
      <c r="O323" t="str">
        <f t="shared" si="21"/>
        <v xml:space="preserve"> </v>
      </c>
      <c r="P323" t="str">
        <f t="shared" si="22"/>
        <v/>
      </c>
      <c r="Q323" t="str">
        <f t="shared" si="23"/>
        <v/>
      </c>
      <c r="R323" t="str">
        <f t="shared" si="24"/>
        <v/>
      </c>
    </row>
    <row r="324" spans="10:18">
      <c r="J324" s="49"/>
      <c r="N324" t="str">
        <f t="shared" ref="N324:N387" si="25">IF(G324="","",_xlfn.IFS(LEN(G324)=14,"2",LEN(G324)=11,"1"))</f>
        <v/>
      </c>
      <c r="O324" t="str">
        <f t="shared" ref="O324:O387" si="26">" "&amp;RIGHT(LEFT(L324,3),2)</f>
        <v xml:space="preserve"> </v>
      </c>
      <c r="P324" t="str">
        <f t="shared" ref="P324:P387" si="27">IF(G324="","",TEXT(G324,"00000000000000"))</f>
        <v/>
      </c>
      <c r="Q324" t="str">
        <f t="shared" ref="Q324:Q387" si="28">TEXT(IF(F324="","",ROW(F324)-2),"00000")</f>
        <v/>
      </c>
      <c r="R324" t="str">
        <f t="shared" ref="R324:R387" si="29">_xlfn.IFS(J324="","",J324="PIX","45",J324="TED","03",J324="PIX QR CODE","47")</f>
        <v/>
      </c>
    </row>
    <row r="325" spans="10:18">
      <c r="J325" s="49"/>
      <c r="N325" t="str">
        <f t="shared" si="25"/>
        <v/>
      </c>
      <c r="O325" t="str">
        <f t="shared" si="26"/>
        <v xml:space="preserve"> </v>
      </c>
      <c r="P325" t="str">
        <f t="shared" si="27"/>
        <v/>
      </c>
      <c r="Q325" t="str">
        <f t="shared" si="28"/>
        <v/>
      </c>
      <c r="R325" t="str">
        <f t="shared" si="29"/>
        <v/>
      </c>
    </row>
    <row r="326" spans="10:18">
      <c r="J326" s="49"/>
      <c r="N326" t="str">
        <f t="shared" si="25"/>
        <v/>
      </c>
      <c r="O326" t="str">
        <f t="shared" si="26"/>
        <v xml:space="preserve"> </v>
      </c>
      <c r="P326" t="str">
        <f t="shared" si="27"/>
        <v/>
      </c>
      <c r="Q326" t="str">
        <f t="shared" si="28"/>
        <v/>
      </c>
      <c r="R326" t="str">
        <f t="shared" si="29"/>
        <v/>
      </c>
    </row>
    <row r="327" spans="10:18">
      <c r="J327" s="49"/>
      <c r="N327" t="str">
        <f t="shared" si="25"/>
        <v/>
      </c>
      <c r="O327" t="str">
        <f t="shared" si="26"/>
        <v xml:space="preserve"> </v>
      </c>
      <c r="P327" t="str">
        <f t="shared" si="27"/>
        <v/>
      </c>
      <c r="Q327" t="str">
        <f t="shared" si="28"/>
        <v/>
      </c>
      <c r="R327" t="str">
        <f t="shared" si="29"/>
        <v/>
      </c>
    </row>
    <row r="328" spans="10:18">
      <c r="J328" s="49"/>
      <c r="N328" t="str">
        <f t="shared" si="25"/>
        <v/>
      </c>
      <c r="O328" t="str">
        <f t="shared" si="26"/>
        <v xml:space="preserve"> </v>
      </c>
      <c r="P328" t="str">
        <f t="shared" si="27"/>
        <v/>
      </c>
      <c r="Q328" t="str">
        <f t="shared" si="28"/>
        <v/>
      </c>
      <c r="R328" t="str">
        <f t="shared" si="29"/>
        <v/>
      </c>
    </row>
    <row r="329" spans="10:18">
      <c r="J329" s="49"/>
      <c r="N329" t="str">
        <f t="shared" si="25"/>
        <v/>
      </c>
      <c r="O329" t="str">
        <f t="shared" si="26"/>
        <v xml:space="preserve"> </v>
      </c>
      <c r="P329" t="str">
        <f t="shared" si="27"/>
        <v/>
      </c>
      <c r="Q329" t="str">
        <f t="shared" si="28"/>
        <v/>
      </c>
      <c r="R329" t="str">
        <f t="shared" si="29"/>
        <v/>
      </c>
    </row>
    <row r="330" spans="10:18">
      <c r="J330" s="49"/>
      <c r="N330" t="str">
        <f t="shared" si="25"/>
        <v/>
      </c>
      <c r="O330" t="str">
        <f t="shared" si="26"/>
        <v xml:space="preserve"> </v>
      </c>
      <c r="P330" t="str">
        <f t="shared" si="27"/>
        <v/>
      </c>
      <c r="Q330" t="str">
        <f t="shared" si="28"/>
        <v/>
      </c>
      <c r="R330" t="str">
        <f t="shared" si="29"/>
        <v/>
      </c>
    </row>
    <row r="331" spans="10:18">
      <c r="J331" s="49"/>
      <c r="N331" t="str">
        <f t="shared" si="25"/>
        <v/>
      </c>
      <c r="O331" t="str">
        <f t="shared" si="26"/>
        <v xml:space="preserve"> </v>
      </c>
      <c r="P331" t="str">
        <f t="shared" si="27"/>
        <v/>
      </c>
      <c r="Q331" t="str">
        <f t="shared" si="28"/>
        <v/>
      </c>
      <c r="R331" t="str">
        <f t="shared" si="29"/>
        <v/>
      </c>
    </row>
    <row r="332" spans="10:18">
      <c r="J332" s="49"/>
      <c r="N332" t="str">
        <f t="shared" si="25"/>
        <v/>
      </c>
      <c r="O332" t="str">
        <f t="shared" si="26"/>
        <v xml:space="preserve"> </v>
      </c>
      <c r="P332" t="str">
        <f t="shared" si="27"/>
        <v/>
      </c>
      <c r="Q332" t="str">
        <f t="shared" si="28"/>
        <v/>
      </c>
      <c r="R332" t="str">
        <f t="shared" si="29"/>
        <v/>
      </c>
    </row>
    <row r="333" spans="10:18">
      <c r="J333" s="49"/>
      <c r="N333" t="str">
        <f t="shared" si="25"/>
        <v/>
      </c>
      <c r="O333" t="str">
        <f t="shared" si="26"/>
        <v xml:space="preserve"> </v>
      </c>
      <c r="P333" t="str">
        <f t="shared" si="27"/>
        <v/>
      </c>
      <c r="Q333" t="str">
        <f t="shared" si="28"/>
        <v/>
      </c>
      <c r="R333" t="str">
        <f t="shared" si="29"/>
        <v/>
      </c>
    </row>
    <row r="334" spans="10:18">
      <c r="J334" s="49"/>
      <c r="N334" t="str">
        <f t="shared" si="25"/>
        <v/>
      </c>
      <c r="O334" t="str">
        <f t="shared" si="26"/>
        <v xml:space="preserve"> </v>
      </c>
      <c r="P334" t="str">
        <f t="shared" si="27"/>
        <v/>
      </c>
      <c r="Q334" t="str">
        <f t="shared" si="28"/>
        <v/>
      </c>
      <c r="R334" t="str">
        <f t="shared" si="29"/>
        <v/>
      </c>
    </row>
    <row r="335" spans="10:18">
      <c r="J335" s="49"/>
      <c r="N335" t="str">
        <f t="shared" si="25"/>
        <v/>
      </c>
      <c r="O335" t="str">
        <f t="shared" si="26"/>
        <v xml:space="preserve"> </v>
      </c>
      <c r="P335" t="str">
        <f t="shared" si="27"/>
        <v/>
      </c>
      <c r="Q335" t="str">
        <f t="shared" si="28"/>
        <v/>
      </c>
      <c r="R335" t="str">
        <f t="shared" si="29"/>
        <v/>
      </c>
    </row>
    <row r="336" spans="10:18">
      <c r="J336" s="49"/>
      <c r="N336" t="str">
        <f t="shared" si="25"/>
        <v/>
      </c>
      <c r="O336" t="str">
        <f t="shared" si="26"/>
        <v xml:space="preserve"> </v>
      </c>
      <c r="P336" t="str">
        <f t="shared" si="27"/>
        <v/>
      </c>
      <c r="Q336" t="str">
        <f t="shared" si="28"/>
        <v/>
      </c>
      <c r="R336" t="str">
        <f t="shared" si="29"/>
        <v/>
      </c>
    </row>
    <row r="337" spans="10:18">
      <c r="J337" s="49"/>
      <c r="N337" t="str">
        <f t="shared" si="25"/>
        <v/>
      </c>
      <c r="O337" t="str">
        <f t="shared" si="26"/>
        <v xml:space="preserve"> </v>
      </c>
      <c r="P337" t="str">
        <f t="shared" si="27"/>
        <v/>
      </c>
      <c r="Q337" t="str">
        <f t="shared" si="28"/>
        <v/>
      </c>
      <c r="R337" t="str">
        <f t="shared" si="29"/>
        <v/>
      </c>
    </row>
    <row r="338" spans="10:18">
      <c r="J338" s="49"/>
      <c r="N338" t="str">
        <f t="shared" si="25"/>
        <v/>
      </c>
      <c r="O338" t="str">
        <f t="shared" si="26"/>
        <v xml:space="preserve"> </v>
      </c>
      <c r="P338" t="str">
        <f t="shared" si="27"/>
        <v/>
      </c>
      <c r="Q338" t="str">
        <f t="shared" si="28"/>
        <v/>
      </c>
      <c r="R338" t="str">
        <f t="shared" si="29"/>
        <v/>
      </c>
    </row>
    <row r="339" spans="10:18">
      <c r="J339" s="49"/>
      <c r="N339" t="str">
        <f t="shared" si="25"/>
        <v/>
      </c>
      <c r="O339" t="str">
        <f t="shared" si="26"/>
        <v xml:space="preserve"> </v>
      </c>
      <c r="P339" t="str">
        <f t="shared" si="27"/>
        <v/>
      </c>
      <c r="Q339" t="str">
        <f t="shared" si="28"/>
        <v/>
      </c>
      <c r="R339" t="str">
        <f t="shared" si="29"/>
        <v/>
      </c>
    </row>
    <row r="340" spans="10:18">
      <c r="J340" s="49"/>
      <c r="N340" t="str">
        <f t="shared" si="25"/>
        <v/>
      </c>
      <c r="O340" t="str">
        <f t="shared" si="26"/>
        <v xml:space="preserve"> </v>
      </c>
      <c r="P340" t="str">
        <f t="shared" si="27"/>
        <v/>
      </c>
      <c r="Q340" t="str">
        <f t="shared" si="28"/>
        <v/>
      </c>
      <c r="R340" t="str">
        <f t="shared" si="29"/>
        <v/>
      </c>
    </row>
    <row r="341" spans="10:18">
      <c r="J341" s="49"/>
      <c r="N341" t="str">
        <f t="shared" si="25"/>
        <v/>
      </c>
      <c r="O341" t="str">
        <f t="shared" si="26"/>
        <v xml:space="preserve"> </v>
      </c>
      <c r="P341" t="str">
        <f t="shared" si="27"/>
        <v/>
      </c>
      <c r="Q341" t="str">
        <f t="shared" si="28"/>
        <v/>
      </c>
      <c r="R341" t="str">
        <f t="shared" si="29"/>
        <v/>
      </c>
    </row>
    <row r="342" spans="10:18">
      <c r="J342" s="49"/>
      <c r="N342" t="str">
        <f t="shared" si="25"/>
        <v/>
      </c>
      <c r="O342" t="str">
        <f t="shared" si="26"/>
        <v xml:space="preserve"> </v>
      </c>
      <c r="P342" t="str">
        <f t="shared" si="27"/>
        <v/>
      </c>
      <c r="Q342" t="str">
        <f t="shared" si="28"/>
        <v/>
      </c>
      <c r="R342" t="str">
        <f t="shared" si="29"/>
        <v/>
      </c>
    </row>
    <row r="343" spans="10:18">
      <c r="J343" s="49"/>
      <c r="N343" t="str">
        <f t="shared" si="25"/>
        <v/>
      </c>
      <c r="O343" t="str">
        <f t="shared" si="26"/>
        <v xml:space="preserve"> </v>
      </c>
      <c r="P343" t="str">
        <f t="shared" si="27"/>
        <v/>
      </c>
      <c r="Q343" t="str">
        <f t="shared" si="28"/>
        <v/>
      </c>
      <c r="R343" t="str">
        <f t="shared" si="29"/>
        <v/>
      </c>
    </row>
    <row r="344" spans="10:18">
      <c r="J344" s="49"/>
      <c r="N344" t="str">
        <f t="shared" si="25"/>
        <v/>
      </c>
      <c r="O344" t="str">
        <f t="shared" si="26"/>
        <v xml:space="preserve"> </v>
      </c>
      <c r="P344" t="str">
        <f t="shared" si="27"/>
        <v/>
      </c>
      <c r="Q344" t="str">
        <f t="shared" si="28"/>
        <v/>
      </c>
      <c r="R344" t="str">
        <f t="shared" si="29"/>
        <v/>
      </c>
    </row>
    <row r="345" spans="10:18">
      <c r="J345" s="49"/>
      <c r="N345" t="str">
        <f t="shared" si="25"/>
        <v/>
      </c>
      <c r="O345" t="str">
        <f t="shared" si="26"/>
        <v xml:space="preserve"> </v>
      </c>
      <c r="P345" t="str">
        <f t="shared" si="27"/>
        <v/>
      </c>
      <c r="Q345" t="str">
        <f t="shared" si="28"/>
        <v/>
      </c>
      <c r="R345" t="str">
        <f t="shared" si="29"/>
        <v/>
      </c>
    </row>
    <row r="346" spans="10:18">
      <c r="J346" s="49"/>
      <c r="N346" t="str">
        <f t="shared" si="25"/>
        <v/>
      </c>
      <c r="O346" t="str">
        <f t="shared" si="26"/>
        <v xml:space="preserve"> </v>
      </c>
      <c r="P346" t="str">
        <f t="shared" si="27"/>
        <v/>
      </c>
      <c r="Q346" t="str">
        <f t="shared" si="28"/>
        <v/>
      </c>
      <c r="R346" t="str">
        <f t="shared" si="29"/>
        <v/>
      </c>
    </row>
    <row r="347" spans="10:18">
      <c r="J347" s="49"/>
      <c r="N347" t="str">
        <f t="shared" si="25"/>
        <v/>
      </c>
      <c r="O347" t="str">
        <f t="shared" si="26"/>
        <v xml:space="preserve"> </v>
      </c>
      <c r="P347" t="str">
        <f t="shared" si="27"/>
        <v/>
      </c>
      <c r="Q347" t="str">
        <f t="shared" si="28"/>
        <v/>
      </c>
      <c r="R347" t="str">
        <f t="shared" si="29"/>
        <v/>
      </c>
    </row>
    <row r="348" spans="10:18">
      <c r="J348" s="49"/>
      <c r="N348" t="str">
        <f t="shared" si="25"/>
        <v/>
      </c>
      <c r="O348" t="str">
        <f t="shared" si="26"/>
        <v xml:space="preserve"> </v>
      </c>
      <c r="P348" t="str">
        <f t="shared" si="27"/>
        <v/>
      </c>
      <c r="Q348" t="str">
        <f t="shared" si="28"/>
        <v/>
      </c>
      <c r="R348" t="str">
        <f t="shared" si="29"/>
        <v/>
      </c>
    </row>
    <row r="349" spans="10:18">
      <c r="J349" s="49"/>
      <c r="N349" t="str">
        <f t="shared" si="25"/>
        <v/>
      </c>
      <c r="O349" t="str">
        <f t="shared" si="26"/>
        <v xml:space="preserve"> </v>
      </c>
      <c r="P349" t="str">
        <f t="shared" si="27"/>
        <v/>
      </c>
      <c r="Q349" t="str">
        <f t="shared" si="28"/>
        <v/>
      </c>
      <c r="R349" t="str">
        <f t="shared" si="29"/>
        <v/>
      </c>
    </row>
    <row r="350" spans="10:18">
      <c r="J350" s="49"/>
      <c r="N350" t="str">
        <f t="shared" si="25"/>
        <v/>
      </c>
      <c r="O350" t="str">
        <f t="shared" si="26"/>
        <v xml:space="preserve"> </v>
      </c>
      <c r="P350" t="str">
        <f t="shared" si="27"/>
        <v/>
      </c>
      <c r="Q350" t="str">
        <f t="shared" si="28"/>
        <v/>
      </c>
      <c r="R350" t="str">
        <f t="shared" si="29"/>
        <v/>
      </c>
    </row>
    <row r="351" spans="10:18">
      <c r="J351" s="49"/>
      <c r="N351" t="str">
        <f t="shared" si="25"/>
        <v/>
      </c>
      <c r="O351" t="str">
        <f t="shared" si="26"/>
        <v xml:space="preserve"> </v>
      </c>
      <c r="P351" t="str">
        <f t="shared" si="27"/>
        <v/>
      </c>
      <c r="Q351" t="str">
        <f t="shared" si="28"/>
        <v/>
      </c>
      <c r="R351" t="str">
        <f t="shared" si="29"/>
        <v/>
      </c>
    </row>
    <row r="352" spans="10:18">
      <c r="J352" s="49"/>
      <c r="N352" t="str">
        <f t="shared" si="25"/>
        <v/>
      </c>
      <c r="O352" t="str">
        <f t="shared" si="26"/>
        <v xml:space="preserve"> </v>
      </c>
      <c r="P352" t="str">
        <f t="shared" si="27"/>
        <v/>
      </c>
      <c r="Q352" t="str">
        <f t="shared" si="28"/>
        <v/>
      </c>
      <c r="R352" t="str">
        <f t="shared" si="29"/>
        <v/>
      </c>
    </row>
    <row r="353" spans="10:18">
      <c r="J353" s="49"/>
      <c r="N353" t="str">
        <f t="shared" si="25"/>
        <v/>
      </c>
      <c r="O353" t="str">
        <f t="shared" si="26"/>
        <v xml:space="preserve"> </v>
      </c>
      <c r="P353" t="str">
        <f t="shared" si="27"/>
        <v/>
      </c>
      <c r="Q353" t="str">
        <f t="shared" si="28"/>
        <v/>
      </c>
      <c r="R353" t="str">
        <f t="shared" si="29"/>
        <v/>
      </c>
    </row>
    <row r="354" spans="10:18">
      <c r="J354" s="49"/>
      <c r="N354" t="str">
        <f t="shared" si="25"/>
        <v/>
      </c>
      <c r="O354" t="str">
        <f t="shared" si="26"/>
        <v xml:space="preserve"> </v>
      </c>
      <c r="P354" t="str">
        <f t="shared" si="27"/>
        <v/>
      </c>
      <c r="Q354" t="str">
        <f t="shared" si="28"/>
        <v/>
      </c>
      <c r="R354" t="str">
        <f t="shared" si="29"/>
        <v/>
      </c>
    </row>
    <row r="355" spans="10:18">
      <c r="J355" s="49"/>
      <c r="N355" t="str">
        <f t="shared" si="25"/>
        <v/>
      </c>
      <c r="O355" t="str">
        <f t="shared" si="26"/>
        <v xml:space="preserve"> </v>
      </c>
      <c r="P355" t="str">
        <f t="shared" si="27"/>
        <v/>
      </c>
      <c r="Q355" t="str">
        <f t="shared" si="28"/>
        <v/>
      </c>
      <c r="R355" t="str">
        <f t="shared" si="29"/>
        <v/>
      </c>
    </row>
    <row r="356" spans="10:18">
      <c r="J356" s="49"/>
      <c r="N356" t="str">
        <f t="shared" si="25"/>
        <v/>
      </c>
      <c r="O356" t="str">
        <f t="shared" si="26"/>
        <v xml:space="preserve"> </v>
      </c>
      <c r="P356" t="str">
        <f t="shared" si="27"/>
        <v/>
      </c>
      <c r="Q356" t="str">
        <f t="shared" si="28"/>
        <v/>
      </c>
      <c r="R356" t="str">
        <f t="shared" si="29"/>
        <v/>
      </c>
    </row>
    <row r="357" spans="10:18">
      <c r="J357" s="49"/>
      <c r="N357" t="str">
        <f t="shared" si="25"/>
        <v/>
      </c>
      <c r="O357" t="str">
        <f t="shared" si="26"/>
        <v xml:space="preserve"> </v>
      </c>
      <c r="P357" t="str">
        <f t="shared" si="27"/>
        <v/>
      </c>
      <c r="Q357" t="str">
        <f t="shared" si="28"/>
        <v/>
      </c>
      <c r="R357" t="str">
        <f t="shared" si="29"/>
        <v/>
      </c>
    </row>
    <row r="358" spans="10:18">
      <c r="J358" s="49"/>
      <c r="N358" t="str">
        <f t="shared" si="25"/>
        <v/>
      </c>
      <c r="O358" t="str">
        <f t="shared" si="26"/>
        <v xml:space="preserve"> </v>
      </c>
      <c r="P358" t="str">
        <f t="shared" si="27"/>
        <v/>
      </c>
      <c r="Q358" t="str">
        <f t="shared" si="28"/>
        <v/>
      </c>
      <c r="R358" t="str">
        <f t="shared" si="29"/>
        <v/>
      </c>
    </row>
    <row r="359" spans="10:18">
      <c r="J359" s="49"/>
      <c r="N359" t="str">
        <f t="shared" si="25"/>
        <v/>
      </c>
      <c r="O359" t="str">
        <f t="shared" si="26"/>
        <v xml:space="preserve"> </v>
      </c>
      <c r="P359" t="str">
        <f t="shared" si="27"/>
        <v/>
      </c>
      <c r="Q359" t="str">
        <f t="shared" si="28"/>
        <v/>
      </c>
      <c r="R359" t="str">
        <f t="shared" si="29"/>
        <v/>
      </c>
    </row>
    <row r="360" spans="10:18">
      <c r="J360" s="49"/>
      <c r="N360" t="str">
        <f t="shared" si="25"/>
        <v/>
      </c>
      <c r="O360" t="str">
        <f t="shared" si="26"/>
        <v xml:space="preserve"> </v>
      </c>
      <c r="P360" t="str">
        <f t="shared" si="27"/>
        <v/>
      </c>
      <c r="Q360" t="str">
        <f t="shared" si="28"/>
        <v/>
      </c>
      <c r="R360" t="str">
        <f t="shared" si="29"/>
        <v/>
      </c>
    </row>
    <row r="361" spans="10:18">
      <c r="J361" s="49"/>
      <c r="N361" t="str">
        <f t="shared" si="25"/>
        <v/>
      </c>
      <c r="O361" t="str">
        <f t="shared" si="26"/>
        <v xml:space="preserve"> </v>
      </c>
      <c r="P361" t="str">
        <f t="shared" si="27"/>
        <v/>
      </c>
      <c r="Q361" t="str">
        <f t="shared" si="28"/>
        <v/>
      </c>
      <c r="R361" t="str">
        <f t="shared" si="29"/>
        <v/>
      </c>
    </row>
    <row r="362" spans="10:18">
      <c r="J362" s="49"/>
      <c r="N362" t="str">
        <f t="shared" si="25"/>
        <v/>
      </c>
      <c r="O362" t="str">
        <f t="shared" si="26"/>
        <v xml:space="preserve"> </v>
      </c>
      <c r="P362" t="str">
        <f t="shared" si="27"/>
        <v/>
      </c>
      <c r="Q362" t="str">
        <f t="shared" si="28"/>
        <v/>
      </c>
      <c r="R362" t="str">
        <f t="shared" si="29"/>
        <v/>
      </c>
    </row>
    <row r="363" spans="10:18">
      <c r="J363" s="49"/>
      <c r="N363" t="str">
        <f t="shared" si="25"/>
        <v/>
      </c>
      <c r="O363" t="str">
        <f t="shared" si="26"/>
        <v xml:space="preserve"> </v>
      </c>
      <c r="P363" t="str">
        <f t="shared" si="27"/>
        <v/>
      </c>
      <c r="Q363" t="str">
        <f t="shared" si="28"/>
        <v/>
      </c>
      <c r="R363" t="str">
        <f t="shared" si="29"/>
        <v/>
      </c>
    </row>
    <row r="364" spans="10:18">
      <c r="J364" s="49"/>
      <c r="N364" t="str">
        <f t="shared" si="25"/>
        <v/>
      </c>
      <c r="O364" t="str">
        <f t="shared" si="26"/>
        <v xml:space="preserve"> </v>
      </c>
      <c r="P364" t="str">
        <f t="shared" si="27"/>
        <v/>
      </c>
      <c r="Q364" t="str">
        <f t="shared" si="28"/>
        <v/>
      </c>
      <c r="R364" t="str">
        <f t="shared" si="29"/>
        <v/>
      </c>
    </row>
    <row r="365" spans="10:18">
      <c r="J365" s="49"/>
      <c r="N365" t="str">
        <f t="shared" si="25"/>
        <v/>
      </c>
      <c r="O365" t="str">
        <f t="shared" si="26"/>
        <v xml:space="preserve"> </v>
      </c>
      <c r="P365" t="str">
        <f t="shared" si="27"/>
        <v/>
      </c>
      <c r="Q365" t="str">
        <f t="shared" si="28"/>
        <v/>
      </c>
      <c r="R365" t="str">
        <f t="shared" si="29"/>
        <v/>
      </c>
    </row>
    <row r="366" spans="10:18">
      <c r="J366" s="49"/>
      <c r="N366" t="str">
        <f t="shared" si="25"/>
        <v/>
      </c>
      <c r="O366" t="str">
        <f t="shared" si="26"/>
        <v xml:space="preserve"> </v>
      </c>
      <c r="P366" t="str">
        <f t="shared" si="27"/>
        <v/>
      </c>
      <c r="Q366" t="str">
        <f t="shared" si="28"/>
        <v/>
      </c>
      <c r="R366" t="str">
        <f t="shared" si="29"/>
        <v/>
      </c>
    </row>
    <row r="367" spans="10:18">
      <c r="J367" s="49"/>
      <c r="N367" t="str">
        <f t="shared" si="25"/>
        <v/>
      </c>
      <c r="O367" t="str">
        <f t="shared" si="26"/>
        <v xml:space="preserve"> </v>
      </c>
      <c r="P367" t="str">
        <f t="shared" si="27"/>
        <v/>
      </c>
      <c r="Q367" t="str">
        <f t="shared" si="28"/>
        <v/>
      </c>
      <c r="R367" t="str">
        <f t="shared" si="29"/>
        <v/>
      </c>
    </row>
    <row r="368" spans="10:18">
      <c r="J368" s="49"/>
      <c r="N368" t="str">
        <f t="shared" si="25"/>
        <v/>
      </c>
      <c r="O368" t="str">
        <f t="shared" si="26"/>
        <v xml:space="preserve"> </v>
      </c>
      <c r="P368" t="str">
        <f t="shared" si="27"/>
        <v/>
      </c>
      <c r="Q368" t="str">
        <f t="shared" si="28"/>
        <v/>
      </c>
      <c r="R368" t="str">
        <f t="shared" si="29"/>
        <v/>
      </c>
    </row>
    <row r="369" spans="10:18">
      <c r="J369" s="49"/>
      <c r="N369" t="str">
        <f t="shared" si="25"/>
        <v/>
      </c>
      <c r="O369" t="str">
        <f t="shared" si="26"/>
        <v xml:space="preserve"> </v>
      </c>
      <c r="P369" t="str">
        <f t="shared" si="27"/>
        <v/>
      </c>
      <c r="Q369" t="str">
        <f t="shared" si="28"/>
        <v/>
      </c>
      <c r="R369" t="str">
        <f t="shared" si="29"/>
        <v/>
      </c>
    </row>
    <row r="370" spans="10:18">
      <c r="J370" s="49"/>
      <c r="N370" t="str">
        <f t="shared" si="25"/>
        <v/>
      </c>
      <c r="O370" t="str">
        <f t="shared" si="26"/>
        <v xml:space="preserve"> </v>
      </c>
      <c r="P370" t="str">
        <f t="shared" si="27"/>
        <v/>
      </c>
      <c r="Q370" t="str">
        <f t="shared" si="28"/>
        <v/>
      </c>
      <c r="R370" t="str">
        <f t="shared" si="29"/>
        <v/>
      </c>
    </row>
    <row r="371" spans="10:18">
      <c r="J371" s="49"/>
      <c r="N371" t="str">
        <f t="shared" si="25"/>
        <v/>
      </c>
      <c r="O371" t="str">
        <f t="shared" si="26"/>
        <v xml:space="preserve"> </v>
      </c>
      <c r="P371" t="str">
        <f t="shared" si="27"/>
        <v/>
      </c>
      <c r="Q371" t="str">
        <f t="shared" si="28"/>
        <v/>
      </c>
      <c r="R371" t="str">
        <f t="shared" si="29"/>
        <v/>
      </c>
    </row>
    <row r="372" spans="10:18">
      <c r="J372" s="49"/>
      <c r="N372" t="str">
        <f t="shared" si="25"/>
        <v/>
      </c>
      <c r="O372" t="str">
        <f t="shared" si="26"/>
        <v xml:space="preserve"> </v>
      </c>
      <c r="P372" t="str">
        <f t="shared" si="27"/>
        <v/>
      </c>
      <c r="Q372" t="str">
        <f t="shared" si="28"/>
        <v/>
      </c>
      <c r="R372" t="str">
        <f t="shared" si="29"/>
        <v/>
      </c>
    </row>
    <row r="373" spans="10:18">
      <c r="J373" s="49"/>
      <c r="N373" t="str">
        <f t="shared" si="25"/>
        <v/>
      </c>
      <c r="O373" t="str">
        <f t="shared" si="26"/>
        <v xml:space="preserve"> </v>
      </c>
      <c r="P373" t="str">
        <f t="shared" si="27"/>
        <v/>
      </c>
      <c r="Q373" t="str">
        <f t="shared" si="28"/>
        <v/>
      </c>
      <c r="R373" t="str">
        <f t="shared" si="29"/>
        <v/>
      </c>
    </row>
    <row r="374" spans="10:18">
      <c r="J374" s="49"/>
      <c r="N374" t="str">
        <f t="shared" si="25"/>
        <v/>
      </c>
      <c r="O374" t="str">
        <f t="shared" si="26"/>
        <v xml:space="preserve"> </v>
      </c>
      <c r="P374" t="str">
        <f t="shared" si="27"/>
        <v/>
      </c>
      <c r="Q374" t="str">
        <f t="shared" si="28"/>
        <v/>
      </c>
      <c r="R374" t="str">
        <f t="shared" si="29"/>
        <v/>
      </c>
    </row>
    <row r="375" spans="10:18">
      <c r="J375" s="49"/>
      <c r="N375" t="str">
        <f t="shared" si="25"/>
        <v/>
      </c>
      <c r="O375" t="str">
        <f t="shared" si="26"/>
        <v xml:space="preserve"> </v>
      </c>
      <c r="P375" t="str">
        <f t="shared" si="27"/>
        <v/>
      </c>
      <c r="Q375" t="str">
        <f t="shared" si="28"/>
        <v/>
      </c>
      <c r="R375" t="str">
        <f t="shared" si="29"/>
        <v/>
      </c>
    </row>
    <row r="376" spans="10:18">
      <c r="J376" s="49"/>
      <c r="N376" t="str">
        <f t="shared" si="25"/>
        <v/>
      </c>
      <c r="O376" t="str">
        <f t="shared" si="26"/>
        <v xml:space="preserve"> </v>
      </c>
      <c r="P376" t="str">
        <f t="shared" si="27"/>
        <v/>
      </c>
      <c r="Q376" t="str">
        <f t="shared" si="28"/>
        <v/>
      </c>
      <c r="R376" t="str">
        <f t="shared" si="29"/>
        <v/>
      </c>
    </row>
    <row r="377" spans="10:18">
      <c r="J377" s="49"/>
      <c r="N377" t="str">
        <f t="shared" si="25"/>
        <v/>
      </c>
      <c r="O377" t="str">
        <f t="shared" si="26"/>
        <v xml:space="preserve"> </v>
      </c>
      <c r="P377" t="str">
        <f t="shared" si="27"/>
        <v/>
      </c>
      <c r="Q377" t="str">
        <f t="shared" si="28"/>
        <v/>
      </c>
      <c r="R377" t="str">
        <f t="shared" si="29"/>
        <v/>
      </c>
    </row>
    <row r="378" spans="10:18">
      <c r="J378" s="49"/>
      <c r="N378" t="str">
        <f t="shared" si="25"/>
        <v/>
      </c>
      <c r="O378" t="str">
        <f t="shared" si="26"/>
        <v xml:space="preserve"> </v>
      </c>
      <c r="P378" t="str">
        <f t="shared" si="27"/>
        <v/>
      </c>
      <c r="Q378" t="str">
        <f t="shared" si="28"/>
        <v/>
      </c>
      <c r="R378" t="str">
        <f t="shared" si="29"/>
        <v/>
      </c>
    </row>
    <row r="379" spans="10:18">
      <c r="J379" s="49"/>
      <c r="N379" t="str">
        <f t="shared" si="25"/>
        <v/>
      </c>
      <c r="O379" t="str">
        <f t="shared" si="26"/>
        <v xml:space="preserve"> </v>
      </c>
      <c r="P379" t="str">
        <f t="shared" si="27"/>
        <v/>
      </c>
      <c r="Q379" t="str">
        <f t="shared" si="28"/>
        <v/>
      </c>
      <c r="R379" t="str">
        <f t="shared" si="29"/>
        <v/>
      </c>
    </row>
    <row r="380" spans="10:18">
      <c r="J380" s="49"/>
      <c r="N380" t="str">
        <f t="shared" si="25"/>
        <v/>
      </c>
      <c r="O380" t="str">
        <f t="shared" si="26"/>
        <v xml:space="preserve"> </v>
      </c>
      <c r="P380" t="str">
        <f t="shared" si="27"/>
        <v/>
      </c>
      <c r="Q380" t="str">
        <f t="shared" si="28"/>
        <v/>
      </c>
      <c r="R380" t="str">
        <f t="shared" si="29"/>
        <v/>
      </c>
    </row>
    <row r="381" spans="10:18">
      <c r="J381" s="49"/>
      <c r="N381" t="str">
        <f t="shared" si="25"/>
        <v/>
      </c>
      <c r="O381" t="str">
        <f t="shared" si="26"/>
        <v xml:space="preserve"> </v>
      </c>
      <c r="P381" t="str">
        <f t="shared" si="27"/>
        <v/>
      </c>
      <c r="Q381" t="str">
        <f t="shared" si="28"/>
        <v/>
      </c>
      <c r="R381" t="str">
        <f t="shared" si="29"/>
        <v/>
      </c>
    </row>
    <row r="382" spans="10:18">
      <c r="J382" s="49"/>
      <c r="N382" t="str">
        <f t="shared" si="25"/>
        <v/>
      </c>
      <c r="O382" t="str">
        <f t="shared" si="26"/>
        <v xml:space="preserve"> </v>
      </c>
      <c r="P382" t="str">
        <f t="shared" si="27"/>
        <v/>
      </c>
      <c r="Q382" t="str">
        <f t="shared" si="28"/>
        <v/>
      </c>
      <c r="R382" t="str">
        <f t="shared" si="29"/>
        <v/>
      </c>
    </row>
    <row r="383" spans="10:18">
      <c r="J383" s="49"/>
      <c r="N383" t="str">
        <f t="shared" si="25"/>
        <v/>
      </c>
      <c r="O383" t="str">
        <f t="shared" si="26"/>
        <v xml:space="preserve"> </v>
      </c>
      <c r="P383" t="str">
        <f t="shared" si="27"/>
        <v/>
      </c>
      <c r="Q383" t="str">
        <f t="shared" si="28"/>
        <v/>
      </c>
      <c r="R383" t="str">
        <f t="shared" si="29"/>
        <v/>
      </c>
    </row>
    <row r="384" spans="10:18">
      <c r="J384" s="49"/>
      <c r="N384" t="str">
        <f t="shared" si="25"/>
        <v/>
      </c>
      <c r="O384" t="str">
        <f t="shared" si="26"/>
        <v xml:space="preserve"> </v>
      </c>
      <c r="P384" t="str">
        <f t="shared" si="27"/>
        <v/>
      </c>
      <c r="Q384" t="str">
        <f t="shared" si="28"/>
        <v/>
      </c>
      <c r="R384" t="str">
        <f t="shared" si="29"/>
        <v/>
      </c>
    </row>
    <row r="385" spans="10:18">
      <c r="J385" s="49"/>
      <c r="N385" t="str">
        <f t="shared" si="25"/>
        <v/>
      </c>
      <c r="O385" t="str">
        <f t="shared" si="26"/>
        <v xml:space="preserve"> </v>
      </c>
      <c r="P385" t="str">
        <f t="shared" si="27"/>
        <v/>
      </c>
      <c r="Q385" t="str">
        <f t="shared" si="28"/>
        <v/>
      </c>
      <c r="R385" t="str">
        <f t="shared" si="29"/>
        <v/>
      </c>
    </row>
    <row r="386" spans="10:18">
      <c r="J386" s="49"/>
      <c r="N386" t="str">
        <f t="shared" si="25"/>
        <v/>
      </c>
      <c r="O386" t="str">
        <f t="shared" si="26"/>
        <v xml:space="preserve"> </v>
      </c>
      <c r="P386" t="str">
        <f t="shared" si="27"/>
        <v/>
      </c>
      <c r="Q386" t="str">
        <f t="shared" si="28"/>
        <v/>
      </c>
      <c r="R386" t="str">
        <f t="shared" si="29"/>
        <v/>
      </c>
    </row>
    <row r="387" spans="10:18">
      <c r="J387" s="49"/>
      <c r="N387" t="str">
        <f t="shared" si="25"/>
        <v/>
      </c>
      <c r="O387" t="str">
        <f t="shared" si="26"/>
        <v xml:space="preserve"> </v>
      </c>
      <c r="P387" t="str">
        <f t="shared" si="27"/>
        <v/>
      </c>
      <c r="Q387" t="str">
        <f t="shared" si="28"/>
        <v/>
      </c>
      <c r="R387" t="str">
        <f t="shared" si="29"/>
        <v/>
      </c>
    </row>
    <row r="388" spans="10:18">
      <c r="J388" s="49"/>
      <c r="N388" t="str">
        <f t="shared" ref="N388:N451" si="30">IF(G388="","",_xlfn.IFS(LEN(G388)=14,"2",LEN(G388)=11,"1"))</f>
        <v/>
      </c>
      <c r="O388" t="str">
        <f t="shared" ref="O388:O451" si="31">" "&amp;RIGHT(LEFT(L388,3),2)</f>
        <v xml:space="preserve"> </v>
      </c>
      <c r="P388" t="str">
        <f t="shared" ref="P388:P451" si="32">IF(G388="","",TEXT(G388,"00000000000000"))</f>
        <v/>
      </c>
      <c r="Q388" t="str">
        <f t="shared" ref="Q388:Q451" si="33">TEXT(IF(F388="","",ROW(F388)-2),"00000")</f>
        <v/>
      </c>
      <c r="R388" t="str">
        <f t="shared" ref="R388:R451" si="34">_xlfn.IFS(J388="","",J388="PIX","45",J388="TED","03",J388="PIX QR CODE","47")</f>
        <v/>
      </c>
    </row>
    <row r="389" spans="10:18">
      <c r="J389" s="49"/>
      <c r="N389" t="str">
        <f t="shared" si="30"/>
        <v/>
      </c>
      <c r="O389" t="str">
        <f t="shared" si="31"/>
        <v xml:space="preserve"> </v>
      </c>
      <c r="P389" t="str">
        <f t="shared" si="32"/>
        <v/>
      </c>
      <c r="Q389" t="str">
        <f t="shared" si="33"/>
        <v/>
      </c>
      <c r="R389" t="str">
        <f t="shared" si="34"/>
        <v/>
      </c>
    </row>
    <row r="390" spans="10:18">
      <c r="J390" s="49"/>
      <c r="N390" t="str">
        <f t="shared" si="30"/>
        <v/>
      </c>
      <c r="O390" t="str">
        <f t="shared" si="31"/>
        <v xml:space="preserve"> </v>
      </c>
      <c r="P390" t="str">
        <f t="shared" si="32"/>
        <v/>
      </c>
      <c r="Q390" t="str">
        <f t="shared" si="33"/>
        <v/>
      </c>
      <c r="R390" t="str">
        <f t="shared" si="34"/>
        <v/>
      </c>
    </row>
    <row r="391" spans="10:18">
      <c r="J391" s="49"/>
      <c r="N391" t="str">
        <f t="shared" si="30"/>
        <v/>
      </c>
      <c r="O391" t="str">
        <f t="shared" si="31"/>
        <v xml:space="preserve"> </v>
      </c>
      <c r="P391" t="str">
        <f t="shared" si="32"/>
        <v/>
      </c>
      <c r="Q391" t="str">
        <f t="shared" si="33"/>
        <v/>
      </c>
      <c r="R391" t="str">
        <f t="shared" si="34"/>
        <v/>
      </c>
    </row>
    <row r="392" spans="10:18">
      <c r="J392" s="49"/>
      <c r="N392" t="str">
        <f t="shared" si="30"/>
        <v/>
      </c>
      <c r="O392" t="str">
        <f t="shared" si="31"/>
        <v xml:space="preserve"> </v>
      </c>
      <c r="P392" t="str">
        <f t="shared" si="32"/>
        <v/>
      </c>
      <c r="Q392" t="str">
        <f t="shared" si="33"/>
        <v/>
      </c>
      <c r="R392" t="str">
        <f t="shared" si="34"/>
        <v/>
      </c>
    </row>
    <row r="393" spans="10:18">
      <c r="J393" s="49"/>
      <c r="N393" t="str">
        <f t="shared" si="30"/>
        <v/>
      </c>
      <c r="O393" t="str">
        <f t="shared" si="31"/>
        <v xml:space="preserve"> </v>
      </c>
      <c r="P393" t="str">
        <f t="shared" si="32"/>
        <v/>
      </c>
      <c r="Q393" t="str">
        <f t="shared" si="33"/>
        <v/>
      </c>
      <c r="R393" t="str">
        <f t="shared" si="34"/>
        <v/>
      </c>
    </row>
    <row r="394" spans="10:18">
      <c r="J394" s="49"/>
      <c r="N394" t="str">
        <f t="shared" si="30"/>
        <v/>
      </c>
      <c r="O394" t="str">
        <f t="shared" si="31"/>
        <v xml:space="preserve"> </v>
      </c>
      <c r="P394" t="str">
        <f t="shared" si="32"/>
        <v/>
      </c>
      <c r="Q394" t="str">
        <f t="shared" si="33"/>
        <v/>
      </c>
      <c r="R394" t="str">
        <f t="shared" si="34"/>
        <v/>
      </c>
    </row>
    <row r="395" spans="10:18">
      <c r="J395" s="49"/>
      <c r="N395" t="str">
        <f t="shared" si="30"/>
        <v/>
      </c>
      <c r="O395" t="str">
        <f t="shared" si="31"/>
        <v xml:space="preserve"> </v>
      </c>
      <c r="P395" t="str">
        <f t="shared" si="32"/>
        <v/>
      </c>
      <c r="Q395" t="str">
        <f t="shared" si="33"/>
        <v/>
      </c>
      <c r="R395" t="str">
        <f t="shared" si="34"/>
        <v/>
      </c>
    </row>
    <row r="396" spans="10:18">
      <c r="J396" s="49"/>
      <c r="N396" t="str">
        <f t="shared" si="30"/>
        <v/>
      </c>
      <c r="O396" t="str">
        <f t="shared" si="31"/>
        <v xml:space="preserve"> </v>
      </c>
      <c r="P396" t="str">
        <f t="shared" si="32"/>
        <v/>
      </c>
      <c r="Q396" t="str">
        <f t="shared" si="33"/>
        <v/>
      </c>
      <c r="R396" t="str">
        <f t="shared" si="34"/>
        <v/>
      </c>
    </row>
    <row r="397" spans="10:18">
      <c r="J397" s="49"/>
      <c r="N397" t="str">
        <f t="shared" si="30"/>
        <v/>
      </c>
      <c r="O397" t="str">
        <f t="shared" si="31"/>
        <v xml:space="preserve"> </v>
      </c>
      <c r="P397" t="str">
        <f t="shared" si="32"/>
        <v/>
      </c>
      <c r="Q397" t="str">
        <f t="shared" si="33"/>
        <v/>
      </c>
      <c r="R397" t="str">
        <f t="shared" si="34"/>
        <v/>
      </c>
    </row>
    <row r="398" spans="10:18">
      <c r="J398" s="49"/>
      <c r="N398" t="str">
        <f t="shared" si="30"/>
        <v/>
      </c>
      <c r="O398" t="str">
        <f t="shared" si="31"/>
        <v xml:space="preserve"> </v>
      </c>
      <c r="P398" t="str">
        <f t="shared" si="32"/>
        <v/>
      </c>
      <c r="Q398" t="str">
        <f t="shared" si="33"/>
        <v/>
      </c>
      <c r="R398" t="str">
        <f t="shared" si="34"/>
        <v/>
      </c>
    </row>
    <row r="399" spans="10:18">
      <c r="J399" s="49"/>
      <c r="N399" t="str">
        <f t="shared" si="30"/>
        <v/>
      </c>
      <c r="O399" t="str">
        <f t="shared" si="31"/>
        <v xml:space="preserve"> </v>
      </c>
      <c r="P399" t="str">
        <f t="shared" si="32"/>
        <v/>
      </c>
      <c r="Q399" t="str">
        <f t="shared" si="33"/>
        <v/>
      </c>
      <c r="R399" t="str">
        <f t="shared" si="34"/>
        <v/>
      </c>
    </row>
    <row r="400" spans="10:18">
      <c r="J400" s="49"/>
      <c r="N400" t="str">
        <f t="shared" si="30"/>
        <v/>
      </c>
      <c r="O400" t="str">
        <f t="shared" si="31"/>
        <v xml:space="preserve"> </v>
      </c>
      <c r="P400" t="str">
        <f t="shared" si="32"/>
        <v/>
      </c>
      <c r="Q400" t="str">
        <f t="shared" si="33"/>
        <v/>
      </c>
      <c r="R400" t="str">
        <f t="shared" si="34"/>
        <v/>
      </c>
    </row>
    <row r="401" spans="10:18">
      <c r="J401" s="49"/>
      <c r="N401" t="str">
        <f t="shared" si="30"/>
        <v/>
      </c>
      <c r="O401" t="str">
        <f t="shared" si="31"/>
        <v xml:space="preserve"> </v>
      </c>
      <c r="P401" t="str">
        <f t="shared" si="32"/>
        <v/>
      </c>
      <c r="Q401" t="str">
        <f t="shared" si="33"/>
        <v/>
      </c>
      <c r="R401" t="str">
        <f t="shared" si="34"/>
        <v/>
      </c>
    </row>
    <row r="402" spans="10:18">
      <c r="J402" s="49"/>
      <c r="N402" t="str">
        <f t="shared" si="30"/>
        <v/>
      </c>
      <c r="O402" t="str">
        <f t="shared" si="31"/>
        <v xml:space="preserve"> </v>
      </c>
      <c r="P402" t="str">
        <f t="shared" si="32"/>
        <v/>
      </c>
      <c r="Q402" t="str">
        <f t="shared" si="33"/>
        <v/>
      </c>
      <c r="R402" t="str">
        <f t="shared" si="34"/>
        <v/>
      </c>
    </row>
    <row r="403" spans="10:18">
      <c r="J403" s="49"/>
      <c r="N403" t="str">
        <f t="shared" si="30"/>
        <v/>
      </c>
      <c r="O403" t="str">
        <f t="shared" si="31"/>
        <v xml:space="preserve"> </v>
      </c>
      <c r="P403" t="str">
        <f t="shared" si="32"/>
        <v/>
      </c>
      <c r="Q403" t="str">
        <f t="shared" si="33"/>
        <v/>
      </c>
      <c r="R403" t="str">
        <f t="shared" si="34"/>
        <v/>
      </c>
    </row>
    <row r="404" spans="10:18">
      <c r="J404" s="49"/>
      <c r="N404" t="str">
        <f t="shared" si="30"/>
        <v/>
      </c>
      <c r="O404" t="str">
        <f t="shared" si="31"/>
        <v xml:space="preserve"> </v>
      </c>
      <c r="P404" t="str">
        <f t="shared" si="32"/>
        <v/>
      </c>
      <c r="Q404" t="str">
        <f t="shared" si="33"/>
        <v/>
      </c>
      <c r="R404" t="str">
        <f t="shared" si="34"/>
        <v/>
      </c>
    </row>
    <row r="405" spans="10:18">
      <c r="J405" s="49"/>
      <c r="N405" t="str">
        <f t="shared" si="30"/>
        <v/>
      </c>
      <c r="O405" t="str">
        <f t="shared" si="31"/>
        <v xml:space="preserve"> </v>
      </c>
      <c r="P405" t="str">
        <f t="shared" si="32"/>
        <v/>
      </c>
      <c r="Q405" t="str">
        <f t="shared" si="33"/>
        <v/>
      </c>
      <c r="R405" t="str">
        <f t="shared" si="34"/>
        <v/>
      </c>
    </row>
    <row r="406" spans="10:18">
      <c r="J406" s="49"/>
      <c r="N406" t="str">
        <f t="shared" si="30"/>
        <v/>
      </c>
      <c r="O406" t="str">
        <f t="shared" si="31"/>
        <v xml:space="preserve"> </v>
      </c>
      <c r="P406" t="str">
        <f t="shared" si="32"/>
        <v/>
      </c>
      <c r="Q406" t="str">
        <f t="shared" si="33"/>
        <v/>
      </c>
      <c r="R406" t="str">
        <f t="shared" si="34"/>
        <v/>
      </c>
    </row>
    <row r="407" spans="10:18">
      <c r="J407" s="49"/>
      <c r="N407" t="str">
        <f t="shared" si="30"/>
        <v/>
      </c>
      <c r="O407" t="str">
        <f t="shared" si="31"/>
        <v xml:space="preserve"> </v>
      </c>
      <c r="P407" t="str">
        <f t="shared" si="32"/>
        <v/>
      </c>
      <c r="Q407" t="str">
        <f t="shared" si="33"/>
        <v/>
      </c>
      <c r="R407" t="str">
        <f t="shared" si="34"/>
        <v/>
      </c>
    </row>
    <row r="408" spans="10:18">
      <c r="J408" s="49"/>
      <c r="N408" t="str">
        <f t="shared" si="30"/>
        <v/>
      </c>
      <c r="O408" t="str">
        <f t="shared" si="31"/>
        <v xml:space="preserve"> </v>
      </c>
      <c r="P408" t="str">
        <f t="shared" si="32"/>
        <v/>
      </c>
      <c r="Q408" t="str">
        <f t="shared" si="33"/>
        <v/>
      </c>
      <c r="R408" t="str">
        <f t="shared" si="34"/>
        <v/>
      </c>
    </row>
    <row r="409" spans="10:18">
      <c r="J409" s="49"/>
      <c r="N409" t="str">
        <f t="shared" si="30"/>
        <v/>
      </c>
      <c r="O409" t="str">
        <f t="shared" si="31"/>
        <v xml:space="preserve"> </v>
      </c>
      <c r="P409" t="str">
        <f t="shared" si="32"/>
        <v/>
      </c>
      <c r="Q409" t="str">
        <f t="shared" si="33"/>
        <v/>
      </c>
      <c r="R409" t="str">
        <f t="shared" si="34"/>
        <v/>
      </c>
    </row>
    <row r="410" spans="10:18">
      <c r="J410" s="49"/>
      <c r="N410" t="str">
        <f t="shared" si="30"/>
        <v/>
      </c>
      <c r="O410" t="str">
        <f t="shared" si="31"/>
        <v xml:space="preserve"> </v>
      </c>
      <c r="P410" t="str">
        <f t="shared" si="32"/>
        <v/>
      </c>
      <c r="Q410" t="str">
        <f t="shared" si="33"/>
        <v/>
      </c>
      <c r="R410" t="str">
        <f t="shared" si="34"/>
        <v/>
      </c>
    </row>
    <row r="411" spans="10:18">
      <c r="J411" s="49"/>
      <c r="N411" t="str">
        <f t="shared" si="30"/>
        <v/>
      </c>
      <c r="O411" t="str">
        <f t="shared" si="31"/>
        <v xml:space="preserve"> </v>
      </c>
      <c r="P411" t="str">
        <f t="shared" si="32"/>
        <v/>
      </c>
      <c r="Q411" t="str">
        <f t="shared" si="33"/>
        <v/>
      </c>
      <c r="R411" t="str">
        <f t="shared" si="34"/>
        <v/>
      </c>
    </row>
    <row r="412" spans="10:18">
      <c r="J412" s="49"/>
      <c r="N412" t="str">
        <f t="shared" si="30"/>
        <v/>
      </c>
      <c r="O412" t="str">
        <f t="shared" si="31"/>
        <v xml:space="preserve"> </v>
      </c>
      <c r="P412" t="str">
        <f t="shared" si="32"/>
        <v/>
      </c>
      <c r="Q412" t="str">
        <f t="shared" si="33"/>
        <v/>
      </c>
      <c r="R412" t="str">
        <f t="shared" si="34"/>
        <v/>
      </c>
    </row>
    <row r="413" spans="10:18">
      <c r="J413" s="49"/>
      <c r="N413" t="str">
        <f t="shared" si="30"/>
        <v/>
      </c>
      <c r="O413" t="str">
        <f t="shared" si="31"/>
        <v xml:space="preserve"> </v>
      </c>
      <c r="P413" t="str">
        <f t="shared" si="32"/>
        <v/>
      </c>
      <c r="Q413" t="str">
        <f t="shared" si="33"/>
        <v/>
      </c>
      <c r="R413" t="str">
        <f t="shared" si="34"/>
        <v/>
      </c>
    </row>
    <row r="414" spans="10:18">
      <c r="J414" s="49"/>
      <c r="N414" t="str">
        <f t="shared" si="30"/>
        <v/>
      </c>
      <c r="O414" t="str">
        <f t="shared" si="31"/>
        <v xml:space="preserve"> </v>
      </c>
      <c r="P414" t="str">
        <f t="shared" si="32"/>
        <v/>
      </c>
      <c r="Q414" t="str">
        <f t="shared" si="33"/>
        <v/>
      </c>
      <c r="R414" t="str">
        <f t="shared" si="34"/>
        <v/>
      </c>
    </row>
    <row r="415" spans="10:18">
      <c r="J415" s="49"/>
      <c r="N415" t="str">
        <f t="shared" si="30"/>
        <v/>
      </c>
      <c r="O415" t="str">
        <f t="shared" si="31"/>
        <v xml:space="preserve"> </v>
      </c>
      <c r="P415" t="str">
        <f t="shared" si="32"/>
        <v/>
      </c>
      <c r="Q415" t="str">
        <f t="shared" si="33"/>
        <v/>
      </c>
      <c r="R415" t="str">
        <f t="shared" si="34"/>
        <v/>
      </c>
    </row>
    <row r="416" spans="10:18">
      <c r="J416" s="49"/>
      <c r="N416" t="str">
        <f t="shared" si="30"/>
        <v/>
      </c>
      <c r="O416" t="str">
        <f t="shared" si="31"/>
        <v xml:space="preserve"> </v>
      </c>
      <c r="P416" t="str">
        <f t="shared" si="32"/>
        <v/>
      </c>
      <c r="Q416" t="str">
        <f t="shared" si="33"/>
        <v/>
      </c>
      <c r="R416" t="str">
        <f t="shared" si="34"/>
        <v/>
      </c>
    </row>
    <row r="417" spans="10:18">
      <c r="J417" s="49"/>
      <c r="N417" t="str">
        <f t="shared" si="30"/>
        <v/>
      </c>
      <c r="O417" t="str">
        <f t="shared" si="31"/>
        <v xml:space="preserve"> </v>
      </c>
      <c r="P417" t="str">
        <f t="shared" si="32"/>
        <v/>
      </c>
      <c r="Q417" t="str">
        <f t="shared" si="33"/>
        <v/>
      </c>
      <c r="R417" t="str">
        <f t="shared" si="34"/>
        <v/>
      </c>
    </row>
    <row r="418" spans="10:18">
      <c r="J418" s="49"/>
      <c r="N418" t="str">
        <f t="shared" si="30"/>
        <v/>
      </c>
      <c r="O418" t="str">
        <f t="shared" si="31"/>
        <v xml:space="preserve"> </v>
      </c>
      <c r="P418" t="str">
        <f t="shared" si="32"/>
        <v/>
      </c>
      <c r="Q418" t="str">
        <f t="shared" si="33"/>
        <v/>
      </c>
      <c r="R418" t="str">
        <f t="shared" si="34"/>
        <v/>
      </c>
    </row>
    <row r="419" spans="10:18">
      <c r="J419" s="49"/>
      <c r="N419" t="str">
        <f t="shared" si="30"/>
        <v/>
      </c>
      <c r="O419" t="str">
        <f t="shared" si="31"/>
        <v xml:space="preserve"> </v>
      </c>
      <c r="P419" t="str">
        <f t="shared" si="32"/>
        <v/>
      </c>
      <c r="Q419" t="str">
        <f t="shared" si="33"/>
        <v/>
      </c>
      <c r="R419" t="str">
        <f t="shared" si="34"/>
        <v/>
      </c>
    </row>
    <row r="420" spans="10:18">
      <c r="J420" s="49"/>
      <c r="N420" t="str">
        <f t="shared" si="30"/>
        <v/>
      </c>
      <c r="O420" t="str">
        <f t="shared" si="31"/>
        <v xml:space="preserve"> </v>
      </c>
      <c r="P420" t="str">
        <f t="shared" si="32"/>
        <v/>
      </c>
      <c r="Q420" t="str">
        <f t="shared" si="33"/>
        <v/>
      </c>
      <c r="R420" t="str">
        <f t="shared" si="34"/>
        <v/>
      </c>
    </row>
    <row r="421" spans="10:18">
      <c r="J421" s="49"/>
      <c r="N421" t="str">
        <f t="shared" si="30"/>
        <v/>
      </c>
      <c r="O421" t="str">
        <f t="shared" si="31"/>
        <v xml:space="preserve"> </v>
      </c>
      <c r="P421" t="str">
        <f t="shared" si="32"/>
        <v/>
      </c>
      <c r="Q421" t="str">
        <f t="shared" si="33"/>
        <v/>
      </c>
      <c r="R421" t="str">
        <f t="shared" si="34"/>
        <v/>
      </c>
    </row>
    <row r="422" spans="10:18">
      <c r="J422" s="49"/>
      <c r="N422" t="str">
        <f t="shared" si="30"/>
        <v/>
      </c>
      <c r="O422" t="str">
        <f t="shared" si="31"/>
        <v xml:space="preserve"> </v>
      </c>
      <c r="P422" t="str">
        <f t="shared" si="32"/>
        <v/>
      </c>
      <c r="Q422" t="str">
        <f t="shared" si="33"/>
        <v/>
      </c>
      <c r="R422" t="str">
        <f t="shared" si="34"/>
        <v/>
      </c>
    </row>
    <row r="423" spans="10:18">
      <c r="J423" s="49"/>
      <c r="N423" t="str">
        <f t="shared" si="30"/>
        <v/>
      </c>
      <c r="O423" t="str">
        <f t="shared" si="31"/>
        <v xml:space="preserve"> </v>
      </c>
      <c r="P423" t="str">
        <f t="shared" si="32"/>
        <v/>
      </c>
      <c r="Q423" t="str">
        <f t="shared" si="33"/>
        <v/>
      </c>
      <c r="R423" t="str">
        <f t="shared" si="34"/>
        <v/>
      </c>
    </row>
    <row r="424" spans="10:18">
      <c r="J424" s="49"/>
      <c r="N424" t="str">
        <f t="shared" si="30"/>
        <v/>
      </c>
      <c r="O424" t="str">
        <f t="shared" si="31"/>
        <v xml:space="preserve"> </v>
      </c>
      <c r="P424" t="str">
        <f t="shared" si="32"/>
        <v/>
      </c>
      <c r="Q424" t="str">
        <f t="shared" si="33"/>
        <v/>
      </c>
      <c r="R424" t="str">
        <f t="shared" si="34"/>
        <v/>
      </c>
    </row>
    <row r="425" spans="10:18">
      <c r="J425" s="49"/>
      <c r="N425" t="str">
        <f t="shared" si="30"/>
        <v/>
      </c>
      <c r="O425" t="str">
        <f t="shared" si="31"/>
        <v xml:space="preserve"> </v>
      </c>
      <c r="P425" t="str">
        <f t="shared" si="32"/>
        <v/>
      </c>
      <c r="Q425" t="str">
        <f t="shared" si="33"/>
        <v/>
      </c>
      <c r="R425" t="str">
        <f t="shared" si="34"/>
        <v/>
      </c>
    </row>
    <row r="426" spans="10:18">
      <c r="J426" s="49"/>
      <c r="N426" t="str">
        <f t="shared" si="30"/>
        <v/>
      </c>
      <c r="O426" t="str">
        <f t="shared" si="31"/>
        <v xml:space="preserve"> </v>
      </c>
      <c r="P426" t="str">
        <f t="shared" si="32"/>
        <v/>
      </c>
      <c r="Q426" t="str">
        <f t="shared" si="33"/>
        <v/>
      </c>
      <c r="R426" t="str">
        <f t="shared" si="34"/>
        <v/>
      </c>
    </row>
    <row r="427" spans="10:18">
      <c r="J427" s="49"/>
      <c r="N427" t="str">
        <f t="shared" si="30"/>
        <v/>
      </c>
      <c r="O427" t="str">
        <f t="shared" si="31"/>
        <v xml:space="preserve"> </v>
      </c>
      <c r="P427" t="str">
        <f t="shared" si="32"/>
        <v/>
      </c>
      <c r="Q427" t="str">
        <f t="shared" si="33"/>
        <v/>
      </c>
      <c r="R427" t="str">
        <f t="shared" si="34"/>
        <v/>
      </c>
    </row>
    <row r="428" spans="10:18">
      <c r="J428" s="49"/>
      <c r="N428" t="str">
        <f t="shared" si="30"/>
        <v/>
      </c>
      <c r="O428" t="str">
        <f t="shared" si="31"/>
        <v xml:space="preserve"> </v>
      </c>
      <c r="P428" t="str">
        <f t="shared" si="32"/>
        <v/>
      </c>
      <c r="Q428" t="str">
        <f t="shared" si="33"/>
        <v/>
      </c>
      <c r="R428" t="str">
        <f t="shared" si="34"/>
        <v/>
      </c>
    </row>
    <row r="429" spans="10:18">
      <c r="J429" s="49"/>
      <c r="N429" t="str">
        <f t="shared" si="30"/>
        <v/>
      </c>
      <c r="O429" t="str">
        <f t="shared" si="31"/>
        <v xml:space="preserve"> </v>
      </c>
      <c r="P429" t="str">
        <f t="shared" si="32"/>
        <v/>
      </c>
      <c r="Q429" t="str">
        <f t="shared" si="33"/>
        <v/>
      </c>
      <c r="R429" t="str">
        <f t="shared" si="34"/>
        <v/>
      </c>
    </row>
    <row r="430" spans="10:18">
      <c r="J430" s="49"/>
      <c r="N430" t="str">
        <f t="shared" si="30"/>
        <v/>
      </c>
      <c r="O430" t="str">
        <f t="shared" si="31"/>
        <v xml:space="preserve"> </v>
      </c>
      <c r="P430" t="str">
        <f t="shared" si="32"/>
        <v/>
      </c>
      <c r="Q430" t="str">
        <f t="shared" si="33"/>
        <v/>
      </c>
      <c r="R430" t="str">
        <f t="shared" si="34"/>
        <v/>
      </c>
    </row>
    <row r="431" spans="10:18">
      <c r="J431" s="49"/>
      <c r="N431" t="str">
        <f t="shared" si="30"/>
        <v/>
      </c>
      <c r="O431" t="str">
        <f t="shared" si="31"/>
        <v xml:space="preserve"> </v>
      </c>
      <c r="P431" t="str">
        <f t="shared" si="32"/>
        <v/>
      </c>
      <c r="Q431" t="str">
        <f t="shared" si="33"/>
        <v/>
      </c>
      <c r="R431" t="str">
        <f t="shared" si="34"/>
        <v/>
      </c>
    </row>
    <row r="432" spans="10:18">
      <c r="J432" s="49"/>
      <c r="N432" t="str">
        <f t="shared" si="30"/>
        <v/>
      </c>
      <c r="O432" t="str">
        <f t="shared" si="31"/>
        <v xml:space="preserve"> </v>
      </c>
      <c r="P432" t="str">
        <f t="shared" si="32"/>
        <v/>
      </c>
      <c r="Q432" t="str">
        <f t="shared" si="33"/>
        <v/>
      </c>
      <c r="R432" t="str">
        <f t="shared" si="34"/>
        <v/>
      </c>
    </row>
    <row r="433" spans="10:18">
      <c r="J433" s="49"/>
      <c r="N433" t="str">
        <f t="shared" si="30"/>
        <v/>
      </c>
      <c r="O433" t="str">
        <f t="shared" si="31"/>
        <v xml:space="preserve"> </v>
      </c>
      <c r="P433" t="str">
        <f t="shared" si="32"/>
        <v/>
      </c>
      <c r="Q433" t="str">
        <f t="shared" si="33"/>
        <v/>
      </c>
      <c r="R433" t="str">
        <f t="shared" si="34"/>
        <v/>
      </c>
    </row>
    <row r="434" spans="10:18">
      <c r="J434" s="49"/>
      <c r="N434" t="str">
        <f t="shared" si="30"/>
        <v/>
      </c>
      <c r="O434" t="str">
        <f t="shared" si="31"/>
        <v xml:space="preserve"> </v>
      </c>
      <c r="P434" t="str">
        <f t="shared" si="32"/>
        <v/>
      </c>
      <c r="Q434" t="str">
        <f t="shared" si="33"/>
        <v/>
      </c>
      <c r="R434" t="str">
        <f t="shared" si="34"/>
        <v/>
      </c>
    </row>
    <row r="435" spans="10:18">
      <c r="J435" s="49"/>
      <c r="N435" t="str">
        <f t="shared" si="30"/>
        <v/>
      </c>
      <c r="O435" t="str">
        <f t="shared" si="31"/>
        <v xml:space="preserve"> </v>
      </c>
      <c r="P435" t="str">
        <f t="shared" si="32"/>
        <v/>
      </c>
      <c r="Q435" t="str">
        <f t="shared" si="33"/>
        <v/>
      </c>
      <c r="R435" t="str">
        <f t="shared" si="34"/>
        <v/>
      </c>
    </row>
    <row r="436" spans="10:18">
      <c r="J436" s="49"/>
      <c r="N436" t="str">
        <f t="shared" si="30"/>
        <v/>
      </c>
      <c r="O436" t="str">
        <f t="shared" si="31"/>
        <v xml:space="preserve"> </v>
      </c>
      <c r="P436" t="str">
        <f t="shared" si="32"/>
        <v/>
      </c>
      <c r="Q436" t="str">
        <f t="shared" si="33"/>
        <v/>
      </c>
      <c r="R436" t="str">
        <f t="shared" si="34"/>
        <v/>
      </c>
    </row>
    <row r="437" spans="10:18">
      <c r="J437" s="49"/>
      <c r="N437" t="str">
        <f t="shared" si="30"/>
        <v/>
      </c>
      <c r="O437" t="str">
        <f t="shared" si="31"/>
        <v xml:space="preserve"> </v>
      </c>
      <c r="P437" t="str">
        <f t="shared" si="32"/>
        <v/>
      </c>
      <c r="Q437" t="str">
        <f t="shared" si="33"/>
        <v/>
      </c>
      <c r="R437" t="str">
        <f t="shared" si="34"/>
        <v/>
      </c>
    </row>
    <row r="438" spans="10:18">
      <c r="J438" s="49"/>
      <c r="N438" t="str">
        <f t="shared" si="30"/>
        <v/>
      </c>
      <c r="O438" t="str">
        <f t="shared" si="31"/>
        <v xml:space="preserve"> </v>
      </c>
      <c r="P438" t="str">
        <f t="shared" si="32"/>
        <v/>
      </c>
      <c r="Q438" t="str">
        <f t="shared" si="33"/>
        <v/>
      </c>
      <c r="R438" t="str">
        <f t="shared" si="34"/>
        <v/>
      </c>
    </row>
    <row r="439" spans="10:18">
      <c r="J439" s="49"/>
      <c r="N439" t="str">
        <f t="shared" si="30"/>
        <v/>
      </c>
      <c r="O439" t="str">
        <f t="shared" si="31"/>
        <v xml:space="preserve"> </v>
      </c>
      <c r="P439" t="str">
        <f t="shared" si="32"/>
        <v/>
      </c>
      <c r="Q439" t="str">
        <f t="shared" si="33"/>
        <v/>
      </c>
      <c r="R439" t="str">
        <f t="shared" si="34"/>
        <v/>
      </c>
    </row>
    <row r="440" spans="10:18">
      <c r="J440" s="49"/>
      <c r="N440" t="str">
        <f t="shared" si="30"/>
        <v/>
      </c>
      <c r="O440" t="str">
        <f t="shared" si="31"/>
        <v xml:space="preserve"> </v>
      </c>
      <c r="P440" t="str">
        <f t="shared" si="32"/>
        <v/>
      </c>
      <c r="Q440" t="str">
        <f t="shared" si="33"/>
        <v/>
      </c>
      <c r="R440" t="str">
        <f t="shared" si="34"/>
        <v/>
      </c>
    </row>
    <row r="441" spans="10:18">
      <c r="J441" s="49"/>
      <c r="N441" t="str">
        <f t="shared" si="30"/>
        <v/>
      </c>
      <c r="O441" t="str">
        <f t="shared" si="31"/>
        <v xml:space="preserve"> </v>
      </c>
      <c r="P441" t="str">
        <f t="shared" si="32"/>
        <v/>
      </c>
      <c r="Q441" t="str">
        <f t="shared" si="33"/>
        <v/>
      </c>
      <c r="R441" t="str">
        <f t="shared" si="34"/>
        <v/>
      </c>
    </row>
    <row r="442" spans="10:18">
      <c r="J442" s="49"/>
      <c r="N442" t="str">
        <f t="shared" si="30"/>
        <v/>
      </c>
      <c r="O442" t="str">
        <f t="shared" si="31"/>
        <v xml:space="preserve"> </v>
      </c>
      <c r="P442" t="str">
        <f t="shared" si="32"/>
        <v/>
      </c>
      <c r="Q442" t="str">
        <f t="shared" si="33"/>
        <v/>
      </c>
      <c r="R442" t="str">
        <f t="shared" si="34"/>
        <v/>
      </c>
    </row>
    <row r="443" spans="10:18">
      <c r="J443" s="49"/>
      <c r="N443" t="str">
        <f t="shared" si="30"/>
        <v/>
      </c>
      <c r="O443" t="str">
        <f t="shared" si="31"/>
        <v xml:space="preserve"> </v>
      </c>
      <c r="P443" t="str">
        <f t="shared" si="32"/>
        <v/>
      </c>
      <c r="Q443" t="str">
        <f t="shared" si="33"/>
        <v/>
      </c>
      <c r="R443" t="str">
        <f t="shared" si="34"/>
        <v/>
      </c>
    </row>
    <row r="444" spans="10:18">
      <c r="J444" s="49"/>
      <c r="N444" t="str">
        <f t="shared" si="30"/>
        <v/>
      </c>
      <c r="O444" t="str">
        <f t="shared" si="31"/>
        <v xml:space="preserve"> </v>
      </c>
      <c r="P444" t="str">
        <f t="shared" si="32"/>
        <v/>
      </c>
      <c r="Q444" t="str">
        <f t="shared" si="33"/>
        <v/>
      </c>
      <c r="R444" t="str">
        <f t="shared" si="34"/>
        <v/>
      </c>
    </row>
    <row r="445" spans="10:18">
      <c r="J445" s="49"/>
      <c r="N445" t="str">
        <f t="shared" si="30"/>
        <v/>
      </c>
      <c r="O445" t="str">
        <f t="shared" si="31"/>
        <v xml:space="preserve"> </v>
      </c>
      <c r="P445" t="str">
        <f t="shared" si="32"/>
        <v/>
      </c>
      <c r="Q445" t="str">
        <f t="shared" si="33"/>
        <v/>
      </c>
      <c r="R445" t="str">
        <f t="shared" si="34"/>
        <v/>
      </c>
    </row>
    <row r="446" spans="10:18">
      <c r="J446" s="49"/>
      <c r="N446" t="str">
        <f t="shared" si="30"/>
        <v/>
      </c>
      <c r="O446" t="str">
        <f t="shared" si="31"/>
        <v xml:space="preserve"> </v>
      </c>
      <c r="P446" t="str">
        <f t="shared" si="32"/>
        <v/>
      </c>
      <c r="Q446" t="str">
        <f t="shared" si="33"/>
        <v/>
      </c>
      <c r="R446" t="str">
        <f t="shared" si="34"/>
        <v/>
      </c>
    </row>
    <row r="447" spans="10:18">
      <c r="J447" s="49"/>
      <c r="N447" t="str">
        <f t="shared" si="30"/>
        <v/>
      </c>
      <c r="O447" t="str">
        <f t="shared" si="31"/>
        <v xml:space="preserve"> </v>
      </c>
      <c r="P447" t="str">
        <f t="shared" si="32"/>
        <v/>
      </c>
      <c r="Q447" t="str">
        <f t="shared" si="33"/>
        <v/>
      </c>
      <c r="R447" t="str">
        <f t="shared" si="34"/>
        <v/>
      </c>
    </row>
    <row r="448" spans="10:18">
      <c r="J448" s="49"/>
      <c r="N448" t="str">
        <f t="shared" si="30"/>
        <v/>
      </c>
      <c r="O448" t="str">
        <f t="shared" si="31"/>
        <v xml:space="preserve"> </v>
      </c>
      <c r="P448" t="str">
        <f t="shared" si="32"/>
        <v/>
      </c>
      <c r="Q448" t="str">
        <f t="shared" si="33"/>
        <v/>
      </c>
      <c r="R448" t="str">
        <f t="shared" si="34"/>
        <v/>
      </c>
    </row>
    <row r="449" spans="10:18">
      <c r="J449" s="49"/>
      <c r="N449" t="str">
        <f t="shared" si="30"/>
        <v/>
      </c>
      <c r="O449" t="str">
        <f t="shared" si="31"/>
        <v xml:space="preserve"> </v>
      </c>
      <c r="P449" t="str">
        <f t="shared" si="32"/>
        <v/>
      </c>
      <c r="Q449" t="str">
        <f t="shared" si="33"/>
        <v/>
      </c>
      <c r="R449" t="str">
        <f t="shared" si="34"/>
        <v/>
      </c>
    </row>
    <row r="450" spans="10:18">
      <c r="J450" s="49"/>
      <c r="N450" t="str">
        <f t="shared" si="30"/>
        <v/>
      </c>
      <c r="O450" t="str">
        <f t="shared" si="31"/>
        <v xml:space="preserve"> </v>
      </c>
      <c r="P450" t="str">
        <f t="shared" si="32"/>
        <v/>
      </c>
      <c r="Q450" t="str">
        <f t="shared" si="33"/>
        <v/>
      </c>
      <c r="R450" t="str">
        <f t="shared" si="34"/>
        <v/>
      </c>
    </row>
    <row r="451" spans="10:18">
      <c r="J451" s="49"/>
      <c r="N451" t="str">
        <f t="shared" si="30"/>
        <v/>
      </c>
      <c r="O451" t="str">
        <f t="shared" si="31"/>
        <v xml:space="preserve"> </v>
      </c>
      <c r="P451" t="str">
        <f t="shared" si="32"/>
        <v/>
      </c>
      <c r="Q451" t="str">
        <f t="shared" si="33"/>
        <v/>
      </c>
      <c r="R451" t="str">
        <f t="shared" si="34"/>
        <v/>
      </c>
    </row>
    <row r="452" spans="10:18">
      <c r="J452" s="49"/>
      <c r="N452" t="str">
        <f t="shared" ref="N452:N515" si="35">IF(G452="","",_xlfn.IFS(LEN(G452)=14,"2",LEN(G452)=11,"1"))</f>
        <v/>
      </c>
      <c r="O452" t="str">
        <f t="shared" ref="O452:O515" si="36">" "&amp;RIGHT(LEFT(L452,3),2)</f>
        <v xml:space="preserve"> </v>
      </c>
      <c r="P452" t="str">
        <f t="shared" ref="P452:P515" si="37">IF(G452="","",TEXT(G452,"00000000000000"))</f>
        <v/>
      </c>
      <c r="Q452" t="str">
        <f t="shared" ref="Q452:Q515" si="38">TEXT(IF(F452="","",ROW(F452)-2),"00000")</f>
        <v/>
      </c>
      <c r="R452" t="str">
        <f t="shared" ref="R452:R515" si="39">_xlfn.IFS(J452="","",J452="PIX","45",J452="TED","03",J452="PIX QR CODE","47")</f>
        <v/>
      </c>
    </row>
    <row r="453" spans="10:18">
      <c r="J453" s="49"/>
      <c r="N453" t="str">
        <f t="shared" si="35"/>
        <v/>
      </c>
      <c r="O453" t="str">
        <f t="shared" si="36"/>
        <v xml:space="preserve"> </v>
      </c>
      <c r="P453" t="str">
        <f t="shared" si="37"/>
        <v/>
      </c>
      <c r="Q453" t="str">
        <f t="shared" si="38"/>
        <v/>
      </c>
      <c r="R453" t="str">
        <f t="shared" si="39"/>
        <v/>
      </c>
    </row>
    <row r="454" spans="10:18">
      <c r="J454" s="49"/>
      <c r="N454" t="str">
        <f t="shared" si="35"/>
        <v/>
      </c>
      <c r="O454" t="str">
        <f t="shared" si="36"/>
        <v xml:space="preserve"> </v>
      </c>
      <c r="P454" t="str">
        <f t="shared" si="37"/>
        <v/>
      </c>
      <c r="Q454" t="str">
        <f t="shared" si="38"/>
        <v/>
      </c>
      <c r="R454" t="str">
        <f t="shared" si="39"/>
        <v/>
      </c>
    </row>
    <row r="455" spans="10:18">
      <c r="J455" s="49"/>
      <c r="N455" t="str">
        <f t="shared" si="35"/>
        <v/>
      </c>
      <c r="O455" t="str">
        <f t="shared" si="36"/>
        <v xml:space="preserve"> </v>
      </c>
      <c r="P455" t="str">
        <f t="shared" si="37"/>
        <v/>
      </c>
      <c r="Q455" t="str">
        <f t="shared" si="38"/>
        <v/>
      </c>
      <c r="R455" t="str">
        <f t="shared" si="39"/>
        <v/>
      </c>
    </row>
    <row r="456" spans="10:18">
      <c r="J456" s="49"/>
      <c r="N456" t="str">
        <f t="shared" si="35"/>
        <v/>
      </c>
      <c r="O456" t="str">
        <f t="shared" si="36"/>
        <v xml:space="preserve"> </v>
      </c>
      <c r="P456" t="str">
        <f t="shared" si="37"/>
        <v/>
      </c>
      <c r="Q456" t="str">
        <f t="shared" si="38"/>
        <v/>
      </c>
      <c r="R456" t="str">
        <f t="shared" si="39"/>
        <v/>
      </c>
    </row>
    <row r="457" spans="10:18">
      <c r="J457" s="49"/>
      <c r="N457" t="str">
        <f t="shared" si="35"/>
        <v/>
      </c>
      <c r="O457" t="str">
        <f t="shared" si="36"/>
        <v xml:space="preserve"> </v>
      </c>
      <c r="P457" t="str">
        <f t="shared" si="37"/>
        <v/>
      </c>
      <c r="Q457" t="str">
        <f t="shared" si="38"/>
        <v/>
      </c>
      <c r="R457" t="str">
        <f t="shared" si="39"/>
        <v/>
      </c>
    </row>
    <row r="458" spans="10:18">
      <c r="J458" s="49"/>
      <c r="N458" t="str">
        <f t="shared" si="35"/>
        <v/>
      </c>
      <c r="O458" t="str">
        <f t="shared" si="36"/>
        <v xml:space="preserve"> </v>
      </c>
      <c r="P458" t="str">
        <f t="shared" si="37"/>
        <v/>
      </c>
      <c r="Q458" t="str">
        <f t="shared" si="38"/>
        <v/>
      </c>
      <c r="R458" t="str">
        <f t="shared" si="39"/>
        <v/>
      </c>
    </row>
    <row r="459" spans="10:18">
      <c r="J459" s="49"/>
      <c r="N459" t="str">
        <f t="shared" si="35"/>
        <v/>
      </c>
      <c r="O459" t="str">
        <f t="shared" si="36"/>
        <v xml:space="preserve"> </v>
      </c>
      <c r="P459" t="str">
        <f t="shared" si="37"/>
        <v/>
      </c>
      <c r="Q459" t="str">
        <f t="shared" si="38"/>
        <v/>
      </c>
      <c r="R459" t="str">
        <f t="shared" si="39"/>
        <v/>
      </c>
    </row>
    <row r="460" spans="10:18">
      <c r="J460" s="49"/>
      <c r="N460" t="str">
        <f t="shared" si="35"/>
        <v/>
      </c>
      <c r="O460" t="str">
        <f t="shared" si="36"/>
        <v xml:space="preserve"> </v>
      </c>
      <c r="P460" t="str">
        <f t="shared" si="37"/>
        <v/>
      </c>
      <c r="Q460" t="str">
        <f t="shared" si="38"/>
        <v/>
      </c>
      <c r="R460" t="str">
        <f t="shared" si="39"/>
        <v/>
      </c>
    </row>
    <row r="461" spans="10:18">
      <c r="J461" s="49"/>
      <c r="N461" t="str">
        <f t="shared" si="35"/>
        <v/>
      </c>
      <c r="O461" t="str">
        <f t="shared" si="36"/>
        <v xml:space="preserve"> </v>
      </c>
      <c r="P461" t="str">
        <f t="shared" si="37"/>
        <v/>
      </c>
      <c r="Q461" t="str">
        <f t="shared" si="38"/>
        <v/>
      </c>
      <c r="R461" t="str">
        <f t="shared" si="39"/>
        <v/>
      </c>
    </row>
    <row r="462" spans="10:18">
      <c r="J462" s="49"/>
      <c r="N462" t="str">
        <f t="shared" si="35"/>
        <v/>
      </c>
      <c r="O462" t="str">
        <f t="shared" si="36"/>
        <v xml:space="preserve"> </v>
      </c>
      <c r="P462" t="str">
        <f t="shared" si="37"/>
        <v/>
      </c>
      <c r="Q462" t="str">
        <f t="shared" si="38"/>
        <v/>
      </c>
      <c r="R462" t="str">
        <f t="shared" si="39"/>
        <v/>
      </c>
    </row>
    <row r="463" spans="10:18">
      <c r="J463" s="49"/>
      <c r="N463" t="str">
        <f t="shared" si="35"/>
        <v/>
      </c>
      <c r="O463" t="str">
        <f t="shared" si="36"/>
        <v xml:space="preserve"> </v>
      </c>
      <c r="P463" t="str">
        <f t="shared" si="37"/>
        <v/>
      </c>
      <c r="Q463" t="str">
        <f t="shared" si="38"/>
        <v/>
      </c>
      <c r="R463" t="str">
        <f t="shared" si="39"/>
        <v/>
      </c>
    </row>
    <row r="464" spans="10:18">
      <c r="J464" s="49"/>
      <c r="N464" t="str">
        <f t="shared" si="35"/>
        <v/>
      </c>
      <c r="O464" t="str">
        <f t="shared" si="36"/>
        <v xml:space="preserve"> </v>
      </c>
      <c r="P464" t="str">
        <f t="shared" si="37"/>
        <v/>
      </c>
      <c r="Q464" t="str">
        <f t="shared" si="38"/>
        <v/>
      </c>
      <c r="R464" t="str">
        <f t="shared" si="39"/>
        <v/>
      </c>
    </row>
    <row r="465" spans="10:18">
      <c r="J465" s="49"/>
      <c r="N465" t="str">
        <f t="shared" si="35"/>
        <v/>
      </c>
      <c r="O465" t="str">
        <f t="shared" si="36"/>
        <v xml:space="preserve"> </v>
      </c>
      <c r="P465" t="str">
        <f t="shared" si="37"/>
        <v/>
      </c>
      <c r="Q465" t="str">
        <f t="shared" si="38"/>
        <v/>
      </c>
      <c r="R465" t="str">
        <f t="shared" si="39"/>
        <v/>
      </c>
    </row>
    <row r="466" spans="10:18">
      <c r="J466" s="49"/>
      <c r="N466" t="str">
        <f t="shared" si="35"/>
        <v/>
      </c>
      <c r="O466" t="str">
        <f t="shared" si="36"/>
        <v xml:space="preserve"> </v>
      </c>
      <c r="P466" t="str">
        <f t="shared" si="37"/>
        <v/>
      </c>
      <c r="Q466" t="str">
        <f t="shared" si="38"/>
        <v/>
      </c>
      <c r="R466" t="str">
        <f t="shared" si="39"/>
        <v/>
      </c>
    </row>
    <row r="467" spans="10:18">
      <c r="J467" s="49"/>
      <c r="N467" t="str">
        <f t="shared" si="35"/>
        <v/>
      </c>
      <c r="O467" t="str">
        <f t="shared" si="36"/>
        <v xml:space="preserve"> </v>
      </c>
      <c r="P467" t="str">
        <f t="shared" si="37"/>
        <v/>
      </c>
      <c r="Q467" t="str">
        <f t="shared" si="38"/>
        <v/>
      </c>
      <c r="R467" t="str">
        <f t="shared" si="39"/>
        <v/>
      </c>
    </row>
    <row r="468" spans="10:18">
      <c r="J468" s="49"/>
      <c r="N468" t="str">
        <f t="shared" si="35"/>
        <v/>
      </c>
      <c r="O468" t="str">
        <f t="shared" si="36"/>
        <v xml:space="preserve"> </v>
      </c>
      <c r="P468" t="str">
        <f t="shared" si="37"/>
        <v/>
      </c>
      <c r="Q468" t="str">
        <f t="shared" si="38"/>
        <v/>
      </c>
      <c r="R468" t="str">
        <f t="shared" si="39"/>
        <v/>
      </c>
    </row>
    <row r="469" spans="10:18">
      <c r="J469" s="49"/>
      <c r="N469" t="str">
        <f t="shared" si="35"/>
        <v/>
      </c>
      <c r="O469" t="str">
        <f t="shared" si="36"/>
        <v xml:space="preserve"> </v>
      </c>
      <c r="P469" t="str">
        <f t="shared" si="37"/>
        <v/>
      </c>
      <c r="Q469" t="str">
        <f t="shared" si="38"/>
        <v/>
      </c>
      <c r="R469" t="str">
        <f t="shared" si="39"/>
        <v/>
      </c>
    </row>
    <row r="470" spans="10:18">
      <c r="J470" s="49"/>
      <c r="N470" t="str">
        <f t="shared" si="35"/>
        <v/>
      </c>
      <c r="O470" t="str">
        <f t="shared" si="36"/>
        <v xml:space="preserve"> </v>
      </c>
      <c r="P470" t="str">
        <f t="shared" si="37"/>
        <v/>
      </c>
      <c r="Q470" t="str">
        <f t="shared" si="38"/>
        <v/>
      </c>
      <c r="R470" t="str">
        <f t="shared" si="39"/>
        <v/>
      </c>
    </row>
    <row r="471" spans="10:18">
      <c r="J471" s="49"/>
      <c r="N471" t="str">
        <f t="shared" si="35"/>
        <v/>
      </c>
      <c r="O471" t="str">
        <f t="shared" si="36"/>
        <v xml:space="preserve"> </v>
      </c>
      <c r="P471" t="str">
        <f t="shared" si="37"/>
        <v/>
      </c>
      <c r="Q471" t="str">
        <f t="shared" si="38"/>
        <v/>
      </c>
      <c r="R471" t="str">
        <f t="shared" si="39"/>
        <v/>
      </c>
    </row>
    <row r="472" spans="10:18">
      <c r="J472" s="49"/>
      <c r="N472" t="str">
        <f t="shared" si="35"/>
        <v/>
      </c>
      <c r="O472" t="str">
        <f t="shared" si="36"/>
        <v xml:space="preserve"> </v>
      </c>
      <c r="P472" t="str">
        <f t="shared" si="37"/>
        <v/>
      </c>
      <c r="Q472" t="str">
        <f t="shared" si="38"/>
        <v/>
      </c>
      <c r="R472" t="str">
        <f t="shared" si="39"/>
        <v/>
      </c>
    </row>
    <row r="473" spans="10:18">
      <c r="J473" s="49"/>
      <c r="N473" t="str">
        <f t="shared" si="35"/>
        <v/>
      </c>
      <c r="O473" t="str">
        <f t="shared" si="36"/>
        <v xml:space="preserve"> </v>
      </c>
      <c r="P473" t="str">
        <f t="shared" si="37"/>
        <v/>
      </c>
      <c r="Q473" t="str">
        <f t="shared" si="38"/>
        <v/>
      </c>
      <c r="R473" t="str">
        <f t="shared" si="39"/>
        <v/>
      </c>
    </row>
    <row r="474" spans="10:18">
      <c r="J474" s="49"/>
      <c r="N474" t="str">
        <f t="shared" si="35"/>
        <v/>
      </c>
      <c r="O474" t="str">
        <f t="shared" si="36"/>
        <v xml:space="preserve"> </v>
      </c>
      <c r="P474" t="str">
        <f t="shared" si="37"/>
        <v/>
      </c>
      <c r="Q474" t="str">
        <f t="shared" si="38"/>
        <v/>
      </c>
      <c r="R474" t="str">
        <f t="shared" si="39"/>
        <v/>
      </c>
    </row>
    <row r="475" spans="10:18">
      <c r="J475" s="49"/>
      <c r="N475" t="str">
        <f t="shared" si="35"/>
        <v/>
      </c>
      <c r="O475" t="str">
        <f t="shared" si="36"/>
        <v xml:space="preserve"> </v>
      </c>
      <c r="P475" t="str">
        <f t="shared" si="37"/>
        <v/>
      </c>
      <c r="Q475" t="str">
        <f t="shared" si="38"/>
        <v/>
      </c>
      <c r="R475" t="str">
        <f t="shared" si="39"/>
        <v/>
      </c>
    </row>
    <row r="476" spans="10:18">
      <c r="J476" s="49"/>
      <c r="N476" t="str">
        <f t="shared" si="35"/>
        <v/>
      </c>
      <c r="O476" t="str">
        <f t="shared" si="36"/>
        <v xml:space="preserve"> </v>
      </c>
      <c r="P476" t="str">
        <f t="shared" si="37"/>
        <v/>
      </c>
      <c r="Q476" t="str">
        <f t="shared" si="38"/>
        <v/>
      </c>
      <c r="R476" t="str">
        <f t="shared" si="39"/>
        <v/>
      </c>
    </row>
    <row r="477" spans="10:18">
      <c r="J477" s="49"/>
      <c r="N477" t="str">
        <f t="shared" si="35"/>
        <v/>
      </c>
      <c r="O477" t="str">
        <f t="shared" si="36"/>
        <v xml:space="preserve"> </v>
      </c>
      <c r="P477" t="str">
        <f t="shared" si="37"/>
        <v/>
      </c>
      <c r="Q477" t="str">
        <f t="shared" si="38"/>
        <v/>
      </c>
      <c r="R477" t="str">
        <f t="shared" si="39"/>
        <v/>
      </c>
    </row>
    <row r="478" spans="10:18">
      <c r="J478" s="49"/>
      <c r="N478" t="str">
        <f t="shared" si="35"/>
        <v/>
      </c>
      <c r="O478" t="str">
        <f t="shared" si="36"/>
        <v xml:space="preserve"> </v>
      </c>
      <c r="P478" t="str">
        <f t="shared" si="37"/>
        <v/>
      </c>
      <c r="Q478" t="str">
        <f t="shared" si="38"/>
        <v/>
      </c>
      <c r="R478" t="str">
        <f t="shared" si="39"/>
        <v/>
      </c>
    </row>
    <row r="479" spans="10:18">
      <c r="J479" s="49"/>
      <c r="N479" t="str">
        <f t="shared" si="35"/>
        <v/>
      </c>
      <c r="O479" t="str">
        <f t="shared" si="36"/>
        <v xml:space="preserve"> </v>
      </c>
      <c r="P479" t="str">
        <f t="shared" si="37"/>
        <v/>
      </c>
      <c r="Q479" t="str">
        <f t="shared" si="38"/>
        <v/>
      </c>
      <c r="R479" t="str">
        <f t="shared" si="39"/>
        <v/>
      </c>
    </row>
    <row r="480" spans="10:18">
      <c r="J480" s="49"/>
      <c r="N480" t="str">
        <f t="shared" si="35"/>
        <v/>
      </c>
      <c r="O480" t="str">
        <f t="shared" si="36"/>
        <v xml:space="preserve"> </v>
      </c>
      <c r="P480" t="str">
        <f t="shared" si="37"/>
        <v/>
      </c>
      <c r="Q480" t="str">
        <f t="shared" si="38"/>
        <v/>
      </c>
      <c r="R480" t="str">
        <f t="shared" si="39"/>
        <v/>
      </c>
    </row>
    <row r="481" spans="10:18">
      <c r="J481" s="49"/>
      <c r="N481" t="str">
        <f t="shared" si="35"/>
        <v/>
      </c>
      <c r="O481" t="str">
        <f t="shared" si="36"/>
        <v xml:space="preserve"> </v>
      </c>
      <c r="P481" t="str">
        <f t="shared" si="37"/>
        <v/>
      </c>
      <c r="Q481" t="str">
        <f t="shared" si="38"/>
        <v/>
      </c>
      <c r="R481" t="str">
        <f t="shared" si="39"/>
        <v/>
      </c>
    </row>
    <row r="482" spans="10:18">
      <c r="J482" s="49"/>
      <c r="N482" t="str">
        <f t="shared" si="35"/>
        <v/>
      </c>
      <c r="O482" t="str">
        <f t="shared" si="36"/>
        <v xml:space="preserve"> </v>
      </c>
      <c r="P482" t="str">
        <f t="shared" si="37"/>
        <v/>
      </c>
      <c r="Q482" t="str">
        <f t="shared" si="38"/>
        <v/>
      </c>
      <c r="R482" t="str">
        <f t="shared" si="39"/>
        <v/>
      </c>
    </row>
    <row r="483" spans="10:18">
      <c r="J483" s="49"/>
      <c r="N483" t="str">
        <f t="shared" si="35"/>
        <v/>
      </c>
      <c r="O483" t="str">
        <f t="shared" si="36"/>
        <v xml:space="preserve"> </v>
      </c>
      <c r="P483" t="str">
        <f t="shared" si="37"/>
        <v/>
      </c>
      <c r="Q483" t="str">
        <f t="shared" si="38"/>
        <v/>
      </c>
      <c r="R483" t="str">
        <f t="shared" si="39"/>
        <v/>
      </c>
    </row>
    <row r="484" spans="10:18">
      <c r="J484" s="49"/>
      <c r="N484" t="str">
        <f t="shared" si="35"/>
        <v/>
      </c>
      <c r="O484" t="str">
        <f t="shared" si="36"/>
        <v xml:space="preserve"> </v>
      </c>
      <c r="P484" t="str">
        <f t="shared" si="37"/>
        <v/>
      </c>
      <c r="Q484" t="str">
        <f t="shared" si="38"/>
        <v/>
      </c>
      <c r="R484" t="str">
        <f t="shared" si="39"/>
        <v/>
      </c>
    </row>
    <row r="485" spans="10:18">
      <c r="J485" s="49"/>
      <c r="N485" t="str">
        <f t="shared" si="35"/>
        <v/>
      </c>
      <c r="O485" t="str">
        <f t="shared" si="36"/>
        <v xml:space="preserve"> </v>
      </c>
      <c r="P485" t="str">
        <f t="shared" si="37"/>
        <v/>
      </c>
      <c r="Q485" t="str">
        <f t="shared" si="38"/>
        <v/>
      </c>
      <c r="R485" t="str">
        <f t="shared" si="39"/>
        <v/>
      </c>
    </row>
    <row r="486" spans="10:18">
      <c r="J486" s="49"/>
      <c r="N486" t="str">
        <f t="shared" si="35"/>
        <v/>
      </c>
      <c r="O486" t="str">
        <f t="shared" si="36"/>
        <v xml:space="preserve"> </v>
      </c>
      <c r="P486" t="str">
        <f t="shared" si="37"/>
        <v/>
      </c>
      <c r="Q486" t="str">
        <f t="shared" si="38"/>
        <v/>
      </c>
      <c r="R486" t="str">
        <f t="shared" si="39"/>
        <v/>
      </c>
    </row>
    <row r="487" spans="10:18">
      <c r="J487" s="49"/>
      <c r="N487" t="str">
        <f t="shared" si="35"/>
        <v/>
      </c>
      <c r="O487" t="str">
        <f t="shared" si="36"/>
        <v xml:space="preserve"> </v>
      </c>
      <c r="P487" t="str">
        <f t="shared" si="37"/>
        <v/>
      </c>
      <c r="Q487" t="str">
        <f t="shared" si="38"/>
        <v/>
      </c>
      <c r="R487" t="str">
        <f t="shared" si="39"/>
        <v/>
      </c>
    </row>
    <row r="488" spans="10:18">
      <c r="J488" s="49"/>
      <c r="N488" t="str">
        <f t="shared" si="35"/>
        <v/>
      </c>
      <c r="O488" t="str">
        <f t="shared" si="36"/>
        <v xml:space="preserve"> </v>
      </c>
      <c r="P488" t="str">
        <f t="shared" si="37"/>
        <v/>
      </c>
      <c r="Q488" t="str">
        <f t="shared" si="38"/>
        <v/>
      </c>
      <c r="R488" t="str">
        <f t="shared" si="39"/>
        <v/>
      </c>
    </row>
    <row r="489" spans="10:18">
      <c r="J489" s="49"/>
      <c r="N489" t="str">
        <f t="shared" si="35"/>
        <v/>
      </c>
      <c r="O489" t="str">
        <f t="shared" si="36"/>
        <v xml:space="preserve"> </v>
      </c>
      <c r="P489" t="str">
        <f t="shared" si="37"/>
        <v/>
      </c>
      <c r="Q489" t="str">
        <f t="shared" si="38"/>
        <v/>
      </c>
      <c r="R489" t="str">
        <f t="shared" si="39"/>
        <v/>
      </c>
    </row>
    <row r="490" spans="10:18">
      <c r="J490" s="49"/>
      <c r="N490" t="str">
        <f t="shared" si="35"/>
        <v/>
      </c>
      <c r="O490" t="str">
        <f t="shared" si="36"/>
        <v xml:space="preserve"> </v>
      </c>
      <c r="P490" t="str">
        <f t="shared" si="37"/>
        <v/>
      </c>
      <c r="Q490" t="str">
        <f t="shared" si="38"/>
        <v/>
      </c>
      <c r="R490" t="str">
        <f t="shared" si="39"/>
        <v/>
      </c>
    </row>
    <row r="491" spans="10:18">
      <c r="J491" s="49"/>
      <c r="N491" t="str">
        <f t="shared" si="35"/>
        <v/>
      </c>
      <c r="O491" t="str">
        <f t="shared" si="36"/>
        <v xml:space="preserve"> </v>
      </c>
      <c r="P491" t="str">
        <f t="shared" si="37"/>
        <v/>
      </c>
      <c r="Q491" t="str">
        <f t="shared" si="38"/>
        <v/>
      </c>
      <c r="R491" t="str">
        <f t="shared" si="39"/>
        <v/>
      </c>
    </row>
    <row r="492" spans="10:18">
      <c r="J492" s="49"/>
      <c r="N492" t="str">
        <f t="shared" si="35"/>
        <v/>
      </c>
      <c r="O492" t="str">
        <f t="shared" si="36"/>
        <v xml:space="preserve"> </v>
      </c>
      <c r="P492" t="str">
        <f t="shared" si="37"/>
        <v/>
      </c>
      <c r="Q492" t="str">
        <f t="shared" si="38"/>
        <v/>
      </c>
      <c r="R492" t="str">
        <f t="shared" si="39"/>
        <v/>
      </c>
    </row>
    <row r="493" spans="10:18">
      <c r="J493" s="49"/>
      <c r="N493" t="str">
        <f t="shared" si="35"/>
        <v/>
      </c>
      <c r="O493" t="str">
        <f t="shared" si="36"/>
        <v xml:space="preserve"> </v>
      </c>
      <c r="P493" t="str">
        <f t="shared" si="37"/>
        <v/>
      </c>
      <c r="Q493" t="str">
        <f t="shared" si="38"/>
        <v/>
      </c>
      <c r="R493" t="str">
        <f t="shared" si="39"/>
        <v/>
      </c>
    </row>
    <row r="494" spans="10:18">
      <c r="J494" s="49"/>
      <c r="N494" t="str">
        <f t="shared" si="35"/>
        <v/>
      </c>
      <c r="O494" t="str">
        <f t="shared" si="36"/>
        <v xml:space="preserve"> </v>
      </c>
      <c r="P494" t="str">
        <f t="shared" si="37"/>
        <v/>
      </c>
      <c r="Q494" t="str">
        <f t="shared" si="38"/>
        <v/>
      </c>
      <c r="R494" t="str">
        <f t="shared" si="39"/>
        <v/>
      </c>
    </row>
    <row r="495" spans="10:18">
      <c r="J495" s="49"/>
      <c r="N495" t="str">
        <f t="shared" si="35"/>
        <v/>
      </c>
      <c r="O495" t="str">
        <f t="shared" si="36"/>
        <v xml:space="preserve"> </v>
      </c>
      <c r="P495" t="str">
        <f t="shared" si="37"/>
        <v/>
      </c>
      <c r="Q495" t="str">
        <f t="shared" si="38"/>
        <v/>
      </c>
      <c r="R495" t="str">
        <f t="shared" si="39"/>
        <v/>
      </c>
    </row>
    <row r="496" spans="10:18">
      <c r="J496" s="49"/>
      <c r="N496" t="str">
        <f t="shared" si="35"/>
        <v/>
      </c>
      <c r="O496" t="str">
        <f t="shared" si="36"/>
        <v xml:space="preserve"> </v>
      </c>
      <c r="P496" t="str">
        <f t="shared" si="37"/>
        <v/>
      </c>
      <c r="Q496" t="str">
        <f t="shared" si="38"/>
        <v/>
      </c>
      <c r="R496" t="str">
        <f t="shared" si="39"/>
        <v/>
      </c>
    </row>
    <row r="497" spans="10:18">
      <c r="J497" s="49"/>
      <c r="N497" t="str">
        <f t="shared" si="35"/>
        <v/>
      </c>
      <c r="O497" t="str">
        <f t="shared" si="36"/>
        <v xml:space="preserve"> </v>
      </c>
      <c r="P497" t="str">
        <f t="shared" si="37"/>
        <v/>
      </c>
      <c r="Q497" t="str">
        <f t="shared" si="38"/>
        <v/>
      </c>
      <c r="R497" t="str">
        <f t="shared" si="39"/>
        <v/>
      </c>
    </row>
    <row r="498" spans="10:18">
      <c r="J498" s="49"/>
      <c r="N498" t="str">
        <f t="shared" si="35"/>
        <v/>
      </c>
      <c r="O498" t="str">
        <f t="shared" si="36"/>
        <v xml:space="preserve"> </v>
      </c>
      <c r="P498" t="str">
        <f t="shared" si="37"/>
        <v/>
      </c>
      <c r="Q498" t="str">
        <f t="shared" si="38"/>
        <v/>
      </c>
      <c r="R498" t="str">
        <f t="shared" si="39"/>
        <v/>
      </c>
    </row>
    <row r="499" spans="10:18">
      <c r="J499" s="49"/>
      <c r="N499" t="str">
        <f t="shared" si="35"/>
        <v/>
      </c>
      <c r="O499" t="str">
        <f t="shared" si="36"/>
        <v xml:space="preserve"> </v>
      </c>
      <c r="P499" t="str">
        <f t="shared" si="37"/>
        <v/>
      </c>
      <c r="Q499" t="str">
        <f t="shared" si="38"/>
        <v/>
      </c>
      <c r="R499" t="str">
        <f t="shared" si="39"/>
        <v/>
      </c>
    </row>
    <row r="500" spans="10:18">
      <c r="J500" s="49"/>
      <c r="N500" t="str">
        <f t="shared" si="35"/>
        <v/>
      </c>
      <c r="O500" t="str">
        <f t="shared" si="36"/>
        <v xml:space="preserve"> </v>
      </c>
      <c r="P500" t="str">
        <f t="shared" si="37"/>
        <v/>
      </c>
      <c r="Q500" t="str">
        <f t="shared" si="38"/>
        <v/>
      </c>
      <c r="R500" t="str">
        <f t="shared" si="39"/>
        <v/>
      </c>
    </row>
    <row r="501" spans="10:18">
      <c r="J501" s="49"/>
      <c r="N501" t="str">
        <f t="shared" si="35"/>
        <v/>
      </c>
      <c r="O501" t="str">
        <f t="shared" si="36"/>
        <v xml:space="preserve"> </v>
      </c>
      <c r="P501" t="str">
        <f t="shared" si="37"/>
        <v/>
      </c>
      <c r="Q501" t="str">
        <f t="shared" si="38"/>
        <v/>
      </c>
      <c r="R501" t="str">
        <f t="shared" si="39"/>
        <v/>
      </c>
    </row>
    <row r="502" spans="10:18">
      <c r="J502" s="49"/>
      <c r="N502" t="str">
        <f t="shared" si="35"/>
        <v/>
      </c>
      <c r="O502" t="str">
        <f t="shared" si="36"/>
        <v xml:space="preserve"> </v>
      </c>
      <c r="P502" t="str">
        <f t="shared" si="37"/>
        <v/>
      </c>
      <c r="Q502" t="str">
        <f t="shared" si="38"/>
        <v/>
      </c>
      <c r="R502" t="str">
        <f t="shared" si="39"/>
        <v/>
      </c>
    </row>
    <row r="503" spans="10:18">
      <c r="J503" s="49"/>
      <c r="N503" t="str">
        <f t="shared" si="35"/>
        <v/>
      </c>
      <c r="O503" t="str">
        <f t="shared" si="36"/>
        <v xml:space="preserve"> </v>
      </c>
      <c r="P503" t="str">
        <f t="shared" si="37"/>
        <v/>
      </c>
      <c r="Q503" t="str">
        <f t="shared" si="38"/>
        <v/>
      </c>
      <c r="R503" t="str">
        <f t="shared" si="39"/>
        <v/>
      </c>
    </row>
    <row r="504" spans="10:18">
      <c r="J504" s="49"/>
      <c r="N504" t="str">
        <f t="shared" si="35"/>
        <v/>
      </c>
      <c r="O504" t="str">
        <f t="shared" si="36"/>
        <v xml:space="preserve"> </v>
      </c>
      <c r="P504" t="str">
        <f t="shared" si="37"/>
        <v/>
      </c>
      <c r="Q504" t="str">
        <f t="shared" si="38"/>
        <v/>
      </c>
      <c r="R504" t="str">
        <f t="shared" si="39"/>
        <v/>
      </c>
    </row>
    <row r="505" spans="10:18">
      <c r="J505" s="49"/>
      <c r="N505" t="str">
        <f t="shared" si="35"/>
        <v/>
      </c>
      <c r="O505" t="str">
        <f t="shared" si="36"/>
        <v xml:space="preserve"> </v>
      </c>
      <c r="P505" t="str">
        <f t="shared" si="37"/>
        <v/>
      </c>
      <c r="Q505" t="str">
        <f t="shared" si="38"/>
        <v/>
      </c>
      <c r="R505" t="str">
        <f t="shared" si="39"/>
        <v/>
      </c>
    </row>
    <row r="506" spans="10:18">
      <c r="J506" s="49"/>
      <c r="N506" t="str">
        <f t="shared" si="35"/>
        <v/>
      </c>
      <c r="O506" t="str">
        <f t="shared" si="36"/>
        <v xml:space="preserve"> </v>
      </c>
      <c r="P506" t="str">
        <f t="shared" si="37"/>
        <v/>
      </c>
      <c r="Q506" t="str">
        <f t="shared" si="38"/>
        <v/>
      </c>
      <c r="R506" t="str">
        <f t="shared" si="39"/>
        <v/>
      </c>
    </row>
    <row r="507" spans="10:18">
      <c r="J507" s="49"/>
      <c r="N507" t="str">
        <f t="shared" si="35"/>
        <v/>
      </c>
      <c r="O507" t="str">
        <f t="shared" si="36"/>
        <v xml:space="preserve"> </v>
      </c>
      <c r="P507" t="str">
        <f t="shared" si="37"/>
        <v/>
      </c>
      <c r="Q507" t="str">
        <f t="shared" si="38"/>
        <v/>
      </c>
      <c r="R507" t="str">
        <f t="shared" si="39"/>
        <v/>
      </c>
    </row>
    <row r="508" spans="10:18">
      <c r="J508" s="49"/>
      <c r="N508" t="str">
        <f t="shared" si="35"/>
        <v/>
      </c>
      <c r="O508" t="str">
        <f t="shared" si="36"/>
        <v xml:space="preserve"> </v>
      </c>
      <c r="P508" t="str">
        <f t="shared" si="37"/>
        <v/>
      </c>
      <c r="Q508" t="str">
        <f t="shared" si="38"/>
        <v/>
      </c>
      <c r="R508" t="str">
        <f t="shared" si="39"/>
        <v/>
      </c>
    </row>
    <row r="509" spans="10:18">
      <c r="J509" s="49"/>
      <c r="N509" t="str">
        <f t="shared" si="35"/>
        <v/>
      </c>
      <c r="O509" t="str">
        <f t="shared" si="36"/>
        <v xml:space="preserve"> </v>
      </c>
      <c r="P509" t="str">
        <f t="shared" si="37"/>
        <v/>
      </c>
      <c r="Q509" t="str">
        <f t="shared" si="38"/>
        <v/>
      </c>
      <c r="R509" t="str">
        <f t="shared" si="39"/>
        <v/>
      </c>
    </row>
    <row r="510" spans="10:18">
      <c r="J510" s="49"/>
      <c r="N510" t="str">
        <f t="shared" si="35"/>
        <v/>
      </c>
      <c r="O510" t="str">
        <f t="shared" si="36"/>
        <v xml:space="preserve"> </v>
      </c>
      <c r="P510" t="str">
        <f t="shared" si="37"/>
        <v/>
      </c>
      <c r="Q510" t="str">
        <f t="shared" si="38"/>
        <v/>
      </c>
      <c r="R510" t="str">
        <f t="shared" si="39"/>
        <v/>
      </c>
    </row>
    <row r="511" spans="10:18">
      <c r="J511" s="49"/>
      <c r="N511" t="str">
        <f t="shared" si="35"/>
        <v/>
      </c>
      <c r="O511" t="str">
        <f t="shared" si="36"/>
        <v xml:space="preserve"> </v>
      </c>
      <c r="P511" t="str">
        <f t="shared" si="37"/>
        <v/>
      </c>
      <c r="Q511" t="str">
        <f t="shared" si="38"/>
        <v/>
      </c>
      <c r="R511" t="str">
        <f t="shared" si="39"/>
        <v/>
      </c>
    </row>
    <row r="512" spans="10:18">
      <c r="J512" s="49"/>
      <c r="N512" t="str">
        <f t="shared" si="35"/>
        <v/>
      </c>
      <c r="O512" t="str">
        <f t="shared" si="36"/>
        <v xml:space="preserve"> </v>
      </c>
      <c r="P512" t="str">
        <f t="shared" si="37"/>
        <v/>
      </c>
      <c r="Q512" t="str">
        <f t="shared" si="38"/>
        <v/>
      </c>
      <c r="R512" t="str">
        <f t="shared" si="39"/>
        <v/>
      </c>
    </row>
    <row r="513" spans="10:18">
      <c r="J513" s="49"/>
      <c r="N513" t="str">
        <f t="shared" si="35"/>
        <v/>
      </c>
      <c r="O513" t="str">
        <f t="shared" si="36"/>
        <v xml:space="preserve"> </v>
      </c>
      <c r="P513" t="str">
        <f t="shared" si="37"/>
        <v/>
      </c>
      <c r="Q513" t="str">
        <f t="shared" si="38"/>
        <v/>
      </c>
      <c r="R513" t="str">
        <f t="shared" si="39"/>
        <v/>
      </c>
    </row>
    <row r="514" spans="10:18">
      <c r="J514" s="49"/>
      <c r="N514" t="str">
        <f t="shared" si="35"/>
        <v/>
      </c>
      <c r="O514" t="str">
        <f t="shared" si="36"/>
        <v xml:space="preserve"> </v>
      </c>
      <c r="P514" t="str">
        <f t="shared" si="37"/>
        <v/>
      </c>
      <c r="Q514" t="str">
        <f t="shared" si="38"/>
        <v/>
      </c>
      <c r="R514" t="str">
        <f t="shared" si="39"/>
        <v/>
      </c>
    </row>
    <row r="515" spans="10:18">
      <c r="J515" s="49"/>
      <c r="N515" t="str">
        <f t="shared" si="35"/>
        <v/>
      </c>
      <c r="O515" t="str">
        <f t="shared" si="36"/>
        <v xml:space="preserve"> </v>
      </c>
      <c r="P515" t="str">
        <f t="shared" si="37"/>
        <v/>
      </c>
      <c r="Q515" t="str">
        <f t="shared" si="38"/>
        <v/>
      </c>
      <c r="R515" t="str">
        <f t="shared" si="39"/>
        <v/>
      </c>
    </row>
    <row r="516" spans="10:18">
      <c r="J516" s="49"/>
      <c r="N516" t="str">
        <f t="shared" ref="N516:N547" si="40">IF(G516="","",_xlfn.IFS(LEN(G516)=14,"2",LEN(G516)=11,"1"))</f>
        <v/>
      </c>
      <c r="O516" t="str">
        <f t="shared" ref="O516:O547" si="41">" "&amp;RIGHT(LEFT(L516,3),2)</f>
        <v xml:space="preserve"> </v>
      </c>
      <c r="P516" t="str">
        <f t="shared" ref="P516:P547" si="42">IF(G516="","",TEXT(G516,"00000000000000"))</f>
        <v/>
      </c>
      <c r="Q516" t="str">
        <f t="shared" ref="Q516:Q547" si="43">TEXT(IF(F516="","",ROW(F516)-2),"00000")</f>
        <v/>
      </c>
      <c r="R516" t="str">
        <f t="shared" ref="R516:R547" si="44">_xlfn.IFS(J516="","",J516="PIX","45",J516="TED","03",J516="PIX QR CODE","47")</f>
        <v/>
      </c>
    </row>
    <row r="517" spans="10:18">
      <c r="J517" s="49"/>
      <c r="N517" t="str">
        <f t="shared" si="40"/>
        <v/>
      </c>
      <c r="O517" t="str">
        <f t="shared" si="41"/>
        <v xml:space="preserve"> </v>
      </c>
      <c r="P517" t="str">
        <f t="shared" si="42"/>
        <v/>
      </c>
      <c r="Q517" t="str">
        <f t="shared" si="43"/>
        <v/>
      </c>
      <c r="R517" t="str">
        <f t="shared" si="44"/>
        <v/>
      </c>
    </row>
    <row r="518" spans="10:18">
      <c r="J518" s="49"/>
      <c r="N518" t="str">
        <f t="shared" si="40"/>
        <v/>
      </c>
      <c r="O518" t="str">
        <f t="shared" si="41"/>
        <v xml:space="preserve"> </v>
      </c>
      <c r="P518" t="str">
        <f t="shared" si="42"/>
        <v/>
      </c>
      <c r="Q518" t="str">
        <f t="shared" si="43"/>
        <v/>
      </c>
      <c r="R518" t="str">
        <f t="shared" si="44"/>
        <v/>
      </c>
    </row>
    <row r="519" spans="10:18">
      <c r="J519" s="49"/>
      <c r="N519" t="str">
        <f t="shared" si="40"/>
        <v/>
      </c>
      <c r="O519" t="str">
        <f t="shared" si="41"/>
        <v xml:space="preserve"> </v>
      </c>
      <c r="P519" t="str">
        <f t="shared" si="42"/>
        <v/>
      </c>
      <c r="Q519" t="str">
        <f t="shared" si="43"/>
        <v/>
      </c>
      <c r="R519" t="str">
        <f t="shared" si="44"/>
        <v/>
      </c>
    </row>
    <row r="520" spans="10:18">
      <c r="J520" s="49"/>
      <c r="N520" t="str">
        <f t="shared" si="40"/>
        <v/>
      </c>
      <c r="O520" t="str">
        <f t="shared" si="41"/>
        <v xml:space="preserve"> </v>
      </c>
      <c r="P520" t="str">
        <f t="shared" si="42"/>
        <v/>
      </c>
      <c r="Q520" t="str">
        <f t="shared" si="43"/>
        <v/>
      </c>
      <c r="R520" t="str">
        <f t="shared" si="44"/>
        <v/>
      </c>
    </row>
    <row r="521" spans="10:18">
      <c r="J521" s="49"/>
      <c r="N521" t="str">
        <f t="shared" si="40"/>
        <v/>
      </c>
      <c r="O521" t="str">
        <f t="shared" si="41"/>
        <v xml:space="preserve"> </v>
      </c>
      <c r="P521" t="str">
        <f t="shared" si="42"/>
        <v/>
      </c>
      <c r="Q521" t="str">
        <f t="shared" si="43"/>
        <v/>
      </c>
      <c r="R521" t="str">
        <f t="shared" si="44"/>
        <v/>
      </c>
    </row>
    <row r="522" spans="10:18">
      <c r="J522" s="49"/>
      <c r="N522" t="str">
        <f t="shared" si="40"/>
        <v/>
      </c>
      <c r="O522" t="str">
        <f t="shared" si="41"/>
        <v xml:space="preserve"> </v>
      </c>
      <c r="P522" t="str">
        <f t="shared" si="42"/>
        <v/>
      </c>
      <c r="Q522" t="str">
        <f t="shared" si="43"/>
        <v/>
      </c>
      <c r="R522" t="str">
        <f t="shared" si="44"/>
        <v/>
      </c>
    </row>
    <row r="523" spans="10:18">
      <c r="J523" s="49"/>
      <c r="N523" t="str">
        <f t="shared" si="40"/>
        <v/>
      </c>
      <c r="O523" t="str">
        <f t="shared" si="41"/>
        <v xml:space="preserve"> </v>
      </c>
      <c r="P523" t="str">
        <f t="shared" si="42"/>
        <v/>
      </c>
      <c r="Q523" t="str">
        <f t="shared" si="43"/>
        <v/>
      </c>
      <c r="R523" t="str">
        <f t="shared" si="44"/>
        <v/>
      </c>
    </row>
    <row r="524" spans="10:18">
      <c r="J524" s="49"/>
      <c r="N524" t="str">
        <f t="shared" si="40"/>
        <v/>
      </c>
      <c r="O524" t="str">
        <f t="shared" si="41"/>
        <v xml:space="preserve"> </v>
      </c>
      <c r="P524" t="str">
        <f t="shared" si="42"/>
        <v/>
      </c>
      <c r="Q524" t="str">
        <f t="shared" si="43"/>
        <v/>
      </c>
      <c r="R524" t="str">
        <f t="shared" si="44"/>
        <v/>
      </c>
    </row>
    <row r="525" spans="10:18">
      <c r="J525" s="49"/>
      <c r="N525" t="str">
        <f t="shared" si="40"/>
        <v/>
      </c>
      <c r="O525" t="str">
        <f t="shared" si="41"/>
        <v xml:space="preserve"> </v>
      </c>
      <c r="P525" t="str">
        <f t="shared" si="42"/>
        <v/>
      </c>
      <c r="Q525" t="str">
        <f t="shared" si="43"/>
        <v/>
      </c>
      <c r="R525" t="str">
        <f t="shared" si="44"/>
        <v/>
      </c>
    </row>
    <row r="526" spans="10:18">
      <c r="J526" s="49"/>
      <c r="N526" t="str">
        <f t="shared" si="40"/>
        <v/>
      </c>
      <c r="O526" t="str">
        <f t="shared" si="41"/>
        <v xml:space="preserve"> </v>
      </c>
      <c r="P526" t="str">
        <f t="shared" si="42"/>
        <v/>
      </c>
      <c r="Q526" t="str">
        <f t="shared" si="43"/>
        <v/>
      </c>
      <c r="R526" t="str">
        <f t="shared" si="44"/>
        <v/>
      </c>
    </row>
    <row r="527" spans="10:18">
      <c r="J527" s="49"/>
      <c r="N527" t="str">
        <f t="shared" si="40"/>
        <v/>
      </c>
      <c r="O527" t="str">
        <f t="shared" si="41"/>
        <v xml:space="preserve"> </v>
      </c>
      <c r="P527" t="str">
        <f t="shared" si="42"/>
        <v/>
      </c>
      <c r="Q527" t="str">
        <f t="shared" si="43"/>
        <v/>
      </c>
      <c r="R527" t="str">
        <f t="shared" si="44"/>
        <v/>
      </c>
    </row>
    <row r="528" spans="10:18">
      <c r="J528" s="49"/>
      <c r="N528" t="str">
        <f t="shared" si="40"/>
        <v/>
      </c>
      <c r="O528" t="str">
        <f t="shared" si="41"/>
        <v xml:space="preserve"> </v>
      </c>
      <c r="P528" t="str">
        <f t="shared" si="42"/>
        <v/>
      </c>
      <c r="Q528" t="str">
        <f t="shared" si="43"/>
        <v/>
      </c>
      <c r="R528" t="str">
        <f t="shared" si="44"/>
        <v/>
      </c>
    </row>
    <row r="529" spans="10:18">
      <c r="J529" s="49"/>
      <c r="N529" t="str">
        <f t="shared" si="40"/>
        <v/>
      </c>
      <c r="O529" t="str">
        <f t="shared" si="41"/>
        <v xml:space="preserve"> </v>
      </c>
      <c r="P529" t="str">
        <f t="shared" si="42"/>
        <v/>
      </c>
      <c r="Q529" t="str">
        <f t="shared" si="43"/>
        <v/>
      </c>
      <c r="R529" t="str">
        <f t="shared" si="44"/>
        <v/>
      </c>
    </row>
    <row r="530" spans="10:18">
      <c r="J530" s="49"/>
      <c r="N530" t="str">
        <f t="shared" si="40"/>
        <v/>
      </c>
      <c r="O530" t="str">
        <f t="shared" si="41"/>
        <v xml:space="preserve"> </v>
      </c>
      <c r="P530" t="str">
        <f t="shared" si="42"/>
        <v/>
      </c>
      <c r="Q530" t="str">
        <f t="shared" si="43"/>
        <v/>
      </c>
      <c r="R530" t="str">
        <f t="shared" si="44"/>
        <v/>
      </c>
    </row>
    <row r="531" spans="10:18">
      <c r="J531" s="49"/>
      <c r="N531" t="str">
        <f t="shared" si="40"/>
        <v/>
      </c>
      <c r="O531" t="str">
        <f t="shared" si="41"/>
        <v xml:space="preserve"> </v>
      </c>
      <c r="P531" t="str">
        <f t="shared" si="42"/>
        <v/>
      </c>
      <c r="Q531" t="str">
        <f t="shared" si="43"/>
        <v/>
      </c>
      <c r="R531" t="str">
        <f t="shared" si="44"/>
        <v/>
      </c>
    </row>
    <row r="532" spans="10:18">
      <c r="J532" s="49"/>
      <c r="N532" t="str">
        <f t="shared" si="40"/>
        <v/>
      </c>
      <c r="O532" t="str">
        <f t="shared" si="41"/>
        <v xml:space="preserve"> </v>
      </c>
      <c r="P532" t="str">
        <f t="shared" si="42"/>
        <v/>
      </c>
      <c r="Q532" t="str">
        <f t="shared" si="43"/>
        <v/>
      </c>
      <c r="R532" t="str">
        <f t="shared" si="44"/>
        <v/>
      </c>
    </row>
    <row r="533" spans="10:18">
      <c r="J533" s="49"/>
      <c r="N533" t="str">
        <f t="shared" si="40"/>
        <v/>
      </c>
      <c r="O533" t="str">
        <f t="shared" si="41"/>
        <v xml:space="preserve"> </v>
      </c>
      <c r="P533" t="str">
        <f t="shared" si="42"/>
        <v/>
      </c>
      <c r="Q533" t="str">
        <f t="shared" si="43"/>
        <v/>
      </c>
      <c r="R533" t="str">
        <f t="shared" si="44"/>
        <v/>
      </c>
    </row>
    <row r="534" spans="10:18">
      <c r="J534" s="49"/>
      <c r="N534" t="str">
        <f t="shared" si="40"/>
        <v/>
      </c>
      <c r="O534" t="str">
        <f t="shared" si="41"/>
        <v xml:space="preserve"> </v>
      </c>
      <c r="P534" t="str">
        <f t="shared" si="42"/>
        <v/>
      </c>
      <c r="Q534" t="str">
        <f t="shared" si="43"/>
        <v/>
      </c>
      <c r="R534" t="str">
        <f t="shared" si="44"/>
        <v/>
      </c>
    </row>
    <row r="535" spans="10:18">
      <c r="J535" s="49"/>
      <c r="N535" t="str">
        <f t="shared" si="40"/>
        <v/>
      </c>
      <c r="O535" t="str">
        <f t="shared" si="41"/>
        <v xml:space="preserve"> </v>
      </c>
      <c r="P535" t="str">
        <f t="shared" si="42"/>
        <v/>
      </c>
      <c r="Q535" t="str">
        <f t="shared" si="43"/>
        <v/>
      </c>
      <c r="R535" t="str">
        <f t="shared" si="44"/>
        <v/>
      </c>
    </row>
    <row r="536" spans="10:18">
      <c r="J536" s="49"/>
      <c r="N536" t="str">
        <f t="shared" si="40"/>
        <v/>
      </c>
      <c r="O536" t="str">
        <f t="shared" si="41"/>
        <v xml:space="preserve"> </v>
      </c>
      <c r="P536" t="str">
        <f t="shared" si="42"/>
        <v/>
      </c>
      <c r="Q536" t="str">
        <f t="shared" si="43"/>
        <v/>
      </c>
      <c r="R536" t="str">
        <f t="shared" si="44"/>
        <v/>
      </c>
    </row>
    <row r="537" spans="10:18">
      <c r="J537" s="49"/>
      <c r="N537" t="str">
        <f t="shared" si="40"/>
        <v/>
      </c>
      <c r="O537" t="str">
        <f t="shared" si="41"/>
        <v xml:space="preserve"> </v>
      </c>
      <c r="P537" t="str">
        <f t="shared" si="42"/>
        <v/>
      </c>
      <c r="Q537" t="str">
        <f t="shared" si="43"/>
        <v/>
      </c>
      <c r="R537" t="str">
        <f t="shared" si="44"/>
        <v/>
      </c>
    </row>
    <row r="538" spans="10:18">
      <c r="J538" s="49"/>
      <c r="N538" t="str">
        <f t="shared" si="40"/>
        <v/>
      </c>
      <c r="O538" t="str">
        <f t="shared" si="41"/>
        <v xml:space="preserve"> </v>
      </c>
      <c r="P538" t="str">
        <f t="shared" si="42"/>
        <v/>
      </c>
      <c r="Q538" t="str">
        <f t="shared" si="43"/>
        <v/>
      </c>
      <c r="R538" t="str">
        <f t="shared" si="44"/>
        <v/>
      </c>
    </row>
    <row r="539" spans="10:18">
      <c r="J539" s="49"/>
      <c r="N539" t="str">
        <f t="shared" si="40"/>
        <v/>
      </c>
      <c r="O539" t="str">
        <f t="shared" si="41"/>
        <v xml:space="preserve"> </v>
      </c>
      <c r="P539" t="str">
        <f t="shared" si="42"/>
        <v/>
      </c>
      <c r="Q539" t="str">
        <f t="shared" si="43"/>
        <v/>
      </c>
      <c r="R539" t="str">
        <f t="shared" si="44"/>
        <v/>
      </c>
    </row>
    <row r="540" spans="10:18">
      <c r="J540" s="49"/>
      <c r="N540" t="str">
        <f t="shared" si="40"/>
        <v/>
      </c>
      <c r="O540" t="str">
        <f t="shared" si="41"/>
        <v xml:space="preserve"> </v>
      </c>
      <c r="P540" t="str">
        <f t="shared" si="42"/>
        <v/>
      </c>
      <c r="Q540" t="str">
        <f t="shared" si="43"/>
        <v/>
      </c>
      <c r="R540" t="str">
        <f t="shared" si="44"/>
        <v/>
      </c>
    </row>
    <row r="541" spans="10:18">
      <c r="J541" s="49"/>
      <c r="N541" t="str">
        <f t="shared" si="40"/>
        <v/>
      </c>
      <c r="O541" t="str">
        <f t="shared" si="41"/>
        <v xml:space="preserve"> </v>
      </c>
      <c r="P541" t="str">
        <f t="shared" si="42"/>
        <v/>
      </c>
      <c r="Q541" t="str">
        <f t="shared" si="43"/>
        <v/>
      </c>
      <c r="R541" t="str">
        <f t="shared" si="44"/>
        <v/>
      </c>
    </row>
    <row r="542" spans="10:18">
      <c r="J542" s="49"/>
      <c r="N542" t="str">
        <f t="shared" si="40"/>
        <v/>
      </c>
      <c r="O542" t="str">
        <f t="shared" si="41"/>
        <v xml:space="preserve"> </v>
      </c>
      <c r="P542" t="str">
        <f t="shared" si="42"/>
        <v/>
      </c>
      <c r="Q542" t="str">
        <f t="shared" si="43"/>
        <v/>
      </c>
      <c r="R542" t="str">
        <f t="shared" si="44"/>
        <v/>
      </c>
    </row>
    <row r="543" spans="10:18">
      <c r="J543" s="49"/>
      <c r="N543" t="str">
        <f t="shared" si="40"/>
        <v/>
      </c>
      <c r="O543" t="str">
        <f t="shared" si="41"/>
        <v xml:space="preserve"> </v>
      </c>
      <c r="P543" t="str">
        <f t="shared" si="42"/>
        <v/>
      </c>
      <c r="Q543" t="str">
        <f t="shared" si="43"/>
        <v/>
      </c>
      <c r="R543" t="str">
        <f t="shared" si="44"/>
        <v/>
      </c>
    </row>
    <row r="544" spans="10:18">
      <c r="N544" t="str">
        <f t="shared" si="40"/>
        <v/>
      </c>
      <c r="O544" t="str">
        <f t="shared" si="41"/>
        <v xml:space="preserve"> </v>
      </c>
      <c r="P544" t="str">
        <f t="shared" si="42"/>
        <v/>
      </c>
      <c r="Q544" t="str">
        <f t="shared" si="43"/>
        <v/>
      </c>
      <c r="R544" t="str">
        <f t="shared" si="44"/>
        <v/>
      </c>
    </row>
    <row r="545" spans="14:18">
      <c r="N545" t="str">
        <f t="shared" si="40"/>
        <v/>
      </c>
      <c r="O545" t="str">
        <f t="shared" si="41"/>
        <v xml:space="preserve"> </v>
      </c>
      <c r="P545" t="str">
        <f t="shared" si="42"/>
        <v/>
      </c>
      <c r="Q545" t="str">
        <f t="shared" si="43"/>
        <v/>
      </c>
      <c r="R545" t="str">
        <f t="shared" si="44"/>
        <v/>
      </c>
    </row>
    <row r="546" spans="14:18">
      <c r="N546" t="str">
        <f t="shared" si="40"/>
        <v/>
      </c>
      <c r="O546" t="str">
        <f t="shared" si="41"/>
        <v xml:space="preserve"> </v>
      </c>
      <c r="P546" t="str">
        <f t="shared" si="42"/>
        <v/>
      </c>
      <c r="Q546" t="str">
        <f t="shared" si="43"/>
        <v/>
      </c>
      <c r="R546" t="str">
        <f t="shared" si="44"/>
        <v/>
      </c>
    </row>
    <row r="547" spans="14:18">
      <c r="N547" t="str">
        <f t="shared" si="40"/>
        <v/>
      </c>
      <c r="O547" t="str">
        <f t="shared" si="41"/>
        <v xml:space="preserve"> </v>
      </c>
      <c r="P547" t="str">
        <f t="shared" si="42"/>
        <v/>
      </c>
      <c r="Q547" t="str">
        <f t="shared" si="43"/>
        <v/>
      </c>
      <c r="R547" t="str">
        <f t="shared" si="44"/>
        <v/>
      </c>
    </row>
  </sheetData>
  <dataValidations count="4">
    <dataValidation type="list" allowBlank="1" showInputMessage="1" showErrorMessage="1" sqref="N3:N1048576" xr:uid="{C0F2D1F2-5C3D-42C0-89B5-13A77CA02100}">
      <formula1>"1,2"</formula1>
    </dataValidation>
    <dataValidation type="list" allowBlank="1" showInputMessage="1" showErrorMessage="1" sqref="L17 L20 L22:L547 L3:L12" xr:uid="{C3C2D328-D790-484F-8DAF-30268C8B4040}">
      <formula1>", “01”  Chave Pix  tipo Telefone , “02”  Chave Pix  tipo Email , “03”  Chave Pix  tipo CPF/CNPJ , “04”  Chave Aleatória , “05”  Dados bancários"</formula1>
    </dataValidation>
    <dataValidation type="list" allowBlank="1" showInputMessage="1" showErrorMessage="1" sqref="J20:J543" xr:uid="{1DF8D61E-EA60-4E94-B1C8-F17A12F3507A}">
      <formula1>"PIX,TED,PIX QR CODE"</formula1>
    </dataValidation>
    <dataValidation type="list" allowBlank="1" showInputMessage="1" showErrorMessage="1" sqref="J3:J19" xr:uid="{0CC4B7A4-42A8-47C2-AE12-70F6A4CF617A}">
      <formula1>"PIX,TED,PIX QR CODE,BOLETO"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49E9C-2AD2-4AE2-AFD6-9A00DB040369}">
  <sheetPr codeName="Planilha2"/>
  <dimension ref="A1:P39"/>
  <sheetViews>
    <sheetView zoomScale="80" zoomScaleNormal="80" workbookViewId="0">
      <selection activeCell="B16" sqref="B16"/>
    </sheetView>
  </sheetViews>
  <sheetFormatPr defaultRowHeight="15"/>
  <cols>
    <col min="1" max="1" width="42.42578125" customWidth="1"/>
    <col min="2" max="2" width="26" bestFit="1" customWidth="1"/>
    <col min="3" max="3" width="19" customWidth="1"/>
    <col min="5" max="5" width="17.28515625" bestFit="1" customWidth="1"/>
    <col min="6" max="6" width="10.7109375" bestFit="1" customWidth="1"/>
    <col min="7" max="7" width="18" bestFit="1" customWidth="1"/>
    <col min="8" max="9" width="13.42578125" bestFit="1" customWidth="1"/>
    <col min="10" max="10" width="10.140625" customWidth="1"/>
    <col min="11" max="11" width="36.7109375" bestFit="1" customWidth="1"/>
    <col min="12" max="12" width="20.28515625" bestFit="1" customWidth="1"/>
  </cols>
  <sheetData>
    <row r="1" spans="1:16">
      <c r="A1" s="5" t="s">
        <v>155</v>
      </c>
      <c r="D1" t="str">
        <f t="array" ref="D1">_xlfn.IFS(I1="","",I1="VERDADEIRO","Num",I1&lt;&gt;"VERDADEIRO","Alfa")</f>
        <v/>
      </c>
      <c r="E1" t="str">
        <f>IF(LEN(C1)=0,"",LEN(C1))</f>
        <v/>
      </c>
      <c r="F1" s="4"/>
      <c r="H1" t="str">
        <f>IF(B1="","",(ISNUMBER(B1)))</f>
        <v/>
      </c>
      <c r="I1" t="str">
        <f>TRIM(H1)</f>
        <v/>
      </c>
    </row>
    <row r="2" spans="1:16" ht="51">
      <c r="A2" s="9" t="str">
        <f ca="1">_xlfn.CONCAT(C6:C29)</f>
        <v xml:space="preserve">07700000         254268450000145                    0000190000045264859 FICTICIA LIMITADA             BANCO INTER                             13001202512491400003410701600                                                                     </v>
      </c>
      <c r="B2" s="5">
        <f ca="1">LEN(A2)</f>
        <v>240</v>
      </c>
    </row>
    <row r="4" spans="1:16" ht="25.5">
      <c r="A4" s="79" t="s">
        <v>6</v>
      </c>
      <c r="B4" s="79" t="s">
        <v>7</v>
      </c>
      <c r="D4" s="79" t="s">
        <v>10</v>
      </c>
      <c r="E4" s="79" t="s">
        <v>9</v>
      </c>
      <c r="F4" s="79" t="s">
        <v>160</v>
      </c>
      <c r="G4" s="79" t="s">
        <v>167</v>
      </c>
      <c r="K4" s="5" t="s">
        <v>6</v>
      </c>
      <c r="L4" s="5" t="s">
        <v>7</v>
      </c>
      <c r="M4" s="7" t="s">
        <v>8</v>
      </c>
      <c r="N4" s="8"/>
      <c r="O4" s="5" t="s">
        <v>9</v>
      </c>
      <c r="P4" s="5" t="s">
        <v>10</v>
      </c>
    </row>
    <row r="5" spans="1:16" ht="15" customHeight="1">
      <c r="A5" s="80"/>
      <c r="B5" s="80"/>
      <c r="D5" s="80"/>
      <c r="E5" s="80"/>
      <c r="F5" s="80"/>
      <c r="G5" s="80"/>
      <c r="K5" s="6"/>
      <c r="L5" s="6"/>
      <c r="M5" s="7" t="s">
        <v>11</v>
      </c>
      <c r="N5" s="7" t="s">
        <v>12</v>
      </c>
      <c r="O5" s="6"/>
      <c r="P5" s="6"/>
    </row>
    <row r="6" spans="1:16">
      <c r="A6" s="9" t="s">
        <v>13</v>
      </c>
      <c r="B6" t="s">
        <v>156</v>
      </c>
      <c r="C6" t="str">
        <f>TEXT(B6,"00#")</f>
        <v>077</v>
      </c>
      <c r="D6" t="str">
        <f t="array" ref="D6">_xlfn.IFS(I6="","",I6="VERDADEIRO","Num",I6&lt;&gt;"VERDADEIRO","Alfa")</f>
        <v>Alfa</v>
      </c>
      <c r="E6">
        <f t="shared" ref="E6:E29" si="0">IF(LEN(C6)=0,"",LEN(C6))</f>
        <v>3</v>
      </c>
      <c r="F6" s="4" t="str">
        <f>IF(E6=N6,"ok",nok)</f>
        <v>ok</v>
      </c>
      <c r="G6" t="b">
        <f t="shared" ref="G6:G29" si="1">E6=O6</f>
        <v>1</v>
      </c>
      <c r="H6" t="b">
        <f t="shared" ref="H6:H29" si="2">IF(B6="","",(ISNUMBER(B6)))</f>
        <v>0</v>
      </c>
      <c r="I6" t="str">
        <f t="shared" ref="I6:I29" si="3">TRIM(H6)</f>
        <v>FALSO</v>
      </c>
      <c r="K6" s="9" t="s">
        <v>13</v>
      </c>
      <c r="L6" s="9" t="s">
        <v>14</v>
      </c>
      <c r="M6" s="10">
        <v>1</v>
      </c>
      <c r="N6" s="10">
        <v>3</v>
      </c>
      <c r="O6" s="10">
        <v>3</v>
      </c>
      <c r="P6" s="9" t="s">
        <v>15</v>
      </c>
    </row>
    <row r="7" spans="1:16" ht="15" customHeight="1">
      <c r="A7" s="9" t="s">
        <v>16</v>
      </c>
      <c r="B7" s="1" t="s">
        <v>994</v>
      </c>
      <c r="C7" t="str">
        <f>B7</f>
        <v>0000</v>
      </c>
      <c r="D7" t="str">
        <f t="array" ref="D7">_xlfn.IFS(I7="","",I7="VERDADEIRO","Num",I7&lt;&gt;"VERDADEIRO","Alfa")</f>
        <v>Alfa</v>
      </c>
      <c r="E7">
        <f t="shared" si="0"/>
        <v>4</v>
      </c>
      <c r="F7" s="4" t="str">
        <f>IF(SUM($E$6:E7)=N7,"ok","nok")</f>
        <v>ok</v>
      </c>
      <c r="G7" t="b">
        <f t="shared" si="1"/>
        <v>1</v>
      </c>
      <c r="H7" t="b">
        <f t="shared" si="2"/>
        <v>0</v>
      </c>
      <c r="I7" t="str">
        <f t="shared" si="3"/>
        <v>FALSO</v>
      </c>
      <c r="K7" s="9" t="s">
        <v>16</v>
      </c>
      <c r="L7" s="9" t="s">
        <v>17</v>
      </c>
      <c r="M7" s="10">
        <v>4</v>
      </c>
      <c r="N7" s="10">
        <v>7</v>
      </c>
      <c r="O7" s="10">
        <v>4</v>
      </c>
      <c r="P7" s="9" t="s">
        <v>15</v>
      </c>
    </row>
    <row r="8" spans="1:16" ht="15" customHeight="1">
      <c r="A8" s="9" t="s">
        <v>18</v>
      </c>
      <c r="B8">
        <v>0</v>
      </c>
      <c r="C8">
        <f>VALUE(B8)</f>
        <v>0</v>
      </c>
      <c r="D8" t="str">
        <f t="array" ref="D8">_xlfn.IFS(I8="","",I8="VERDADEIRO","Num",I8&lt;&gt;"VERDADEIRO","Alfa")</f>
        <v>Num</v>
      </c>
      <c r="E8">
        <f t="shared" si="0"/>
        <v>1</v>
      </c>
      <c r="F8" s="4" t="str">
        <f>IF(SUM($E$6:E8)=N8,"ok","nok")</f>
        <v>ok</v>
      </c>
      <c r="G8" t="b">
        <f t="shared" si="1"/>
        <v>1</v>
      </c>
      <c r="H8" t="b">
        <f t="shared" si="2"/>
        <v>1</v>
      </c>
      <c r="I8" t="str">
        <f t="shared" si="3"/>
        <v>VERDADEIRO</v>
      </c>
      <c r="K8" s="9" t="s">
        <v>18</v>
      </c>
      <c r="L8" s="9" t="s">
        <v>19</v>
      </c>
      <c r="M8" s="10">
        <v>8</v>
      </c>
      <c r="N8" s="10">
        <v>8</v>
      </c>
      <c r="O8" s="10">
        <v>1</v>
      </c>
      <c r="P8" s="9" t="s">
        <v>15</v>
      </c>
    </row>
    <row r="9" spans="1:16" ht="15" customHeight="1">
      <c r="A9" s="9" t="s">
        <v>20</v>
      </c>
      <c r="B9" s="1" t="s">
        <v>0</v>
      </c>
      <c r="C9" t="str">
        <f>B9</f>
        <v xml:space="preserve">         </v>
      </c>
      <c r="D9" t="str">
        <f t="array" ref="D9">_xlfn.IFS(I9="","",I9="VERDADEIRO","Num",I9&lt;&gt;"VERDADEIRO","Alfa")</f>
        <v>Alfa</v>
      </c>
      <c r="E9">
        <f t="shared" si="0"/>
        <v>9</v>
      </c>
      <c r="F9" s="4" t="str">
        <f>IF(SUM($E$6:E9)=N9,"ok","nok")</f>
        <v>ok</v>
      </c>
      <c r="G9" t="b">
        <f t="shared" si="1"/>
        <v>1</v>
      </c>
      <c r="H9" t="b">
        <f t="shared" si="2"/>
        <v>0</v>
      </c>
      <c r="I9" t="str">
        <f t="shared" si="3"/>
        <v>FALSO</v>
      </c>
      <c r="K9" s="9" t="s">
        <v>20</v>
      </c>
      <c r="L9" s="9" t="s">
        <v>21</v>
      </c>
      <c r="M9" s="10">
        <v>9</v>
      </c>
      <c r="N9" s="10">
        <v>17</v>
      </c>
      <c r="O9" s="10">
        <v>9</v>
      </c>
      <c r="P9" s="9" t="s">
        <v>22</v>
      </c>
    </row>
    <row r="10" spans="1:16" ht="15" customHeight="1">
      <c r="A10" s="9" t="s">
        <v>23</v>
      </c>
      <c r="B10">
        <v>2</v>
      </c>
      <c r="C10">
        <f>VALUE(B10)</f>
        <v>2</v>
      </c>
      <c r="D10" t="str">
        <f t="array" ref="D10">_xlfn.IFS(I10="","",I10="VERDADEIRO","Num",I10&lt;&gt;"VERDADEIRO","Alfa")</f>
        <v>Num</v>
      </c>
      <c r="E10">
        <f t="shared" si="0"/>
        <v>1</v>
      </c>
      <c r="F10" s="4" t="str">
        <f>IF(SUM($E$6:E10)=N10,"ok","nok")</f>
        <v>ok</v>
      </c>
      <c r="G10" t="b">
        <f t="shared" si="1"/>
        <v>1</v>
      </c>
      <c r="H10" t="b">
        <f t="shared" si="2"/>
        <v>1</v>
      </c>
      <c r="I10" t="str">
        <f t="shared" si="3"/>
        <v>VERDADEIRO</v>
      </c>
      <c r="K10" s="9" t="s">
        <v>23</v>
      </c>
      <c r="L10" s="9" t="s">
        <v>24</v>
      </c>
      <c r="M10" s="10">
        <v>18</v>
      </c>
      <c r="N10" s="10">
        <v>18</v>
      </c>
      <c r="O10" s="10">
        <v>1</v>
      </c>
      <c r="P10" s="9" t="s">
        <v>15</v>
      </c>
    </row>
    <row r="11" spans="1:16" ht="15" customHeight="1">
      <c r="A11" s="9" t="s">
        <v>25</v>
      </c>
      <c r="B11" s="1">
        <v>54268450000145</v>
      </c>
      <c r="C11" s="2">
        <f>B11</f>
        <v>54268450000145</v>
      </c>
      <c r="D11" t="str">
        <f t="array" ref="D11">_xlfn.IFS(I11="","",I11="VERDADEIRO","Num",I11&lt;&gt;"VERDADEIRO","Alfa")</f>
        <v>Num</v>
      </c>
      <c r="E11">
        <f t="shared" si="0"/>
        <v>14</v>
      </c>
      <c r="F11" s="4" t="str">
        <f>IF(SUM($E$6:E11)=N11,"ok","nok")</f>
        <v>ok</v>
      </c>
      <c r="G11" t="b">
        <f t="shared" si="1"/>
        <v>1</v>
      </c>
      <c r="H11" t="b">
        <f t="shared" si="2"/>
        <v>1</v>
      </c>
      <c r="I11" t="str">
        <f t="shared" si="3"/>
        <v>VERDADEIRO</v>
      </c>
      <c r="K11" s="9" t="s">
        <v>25</v>
      </c>
      <c r="L11" s="11"/>
      <c r="M11" s="10">
        <v>19</v>
      </c>
      <c r="N11" s="10">
        <v>32</v>
      </c>
      <c r="O11" s="10">
        <v>14</v>
      </c>
      <c r="P11" s="9" t="s">
        <v>15</v>
      </c>
    </row>
    <row r="12" spans="1:16" ht="15" customHeight="1">
      <c r="A12" s="9" t="s">
        <v>26</v>
      </c>
      <c r="B12" s="1" t="s">
        <v>1</v>
      </c>
      <c r="C12" t="str">
        <f>B12</f>
        <v xml:space="preserve">                    </v>
      </c>
      <c r="D12" t="str">
        <f t="array" ref="D12">_xlfn.IFS(I12="","",I12="VERDADEIRO","Num",I12&lt;&gt;"VERDADEIRO","Alfa")</f>
        <v>Alfa</v>
      </c>
      <c r="E12">
        <f t="shared" si="0"/>
        <v>20</v>
      </c>
      <c r="F12" s="4" t="str">
        <f>IF(SUM($E$6:E12)=N12,"ok","nok")</f>
        <v>ok</v>
      </c>
      <c r="G12" t="b">
        <f t="shared" si="1"/>
        <v>1</v>
      </c>
      <c r="H12" t="b">
        <f t="shared" si="2"/>
        <v>0</v>
      </c>
      <c r="I12" t="str">
        <f t="shared" si="3"/>
        <v>FALSO</v>
      </c>
      <c r="K12" s="9" t="s">
        <v>26</v>
      </c>
      <c r="L12" s="9" t="s">
        <v>21</v>
      </c>
      <c r="M12" s="10">
        <v>33</v>
      </c>
      <c r="N12" s="10">
        <v>52</v>
      </c>
      <c r="O12" s="10">
        <v>20</v>
      </c>
      <c r="P12" s="9" t="s">
        <v>22</v>
      </c>
    </row>
    <row r="13" spans="1:16" ht="15" customHeight="1">
      <c r="A13" s="9" t="s">
        <v>27</v>
      </c>
      <c r="B13">
        <v>1</v>
      </c>
      <c r="C13" t="str">
        <f>TEXT(B13,"0000#")</f>
        <v>00001</v>
      </c>
      <c r="D13" t="str">
        <f t="array" ref="D13">_xlfn.IFS(I13="","",I13="VERDADEIRO","Num",I13&lt;&gt;"VERDADEIRO","Alfa")</f>
        <v>Num</v>
      </c>
      <c r="E13">
        <f t="shared" si="0"/>
        <v>5</v>
      </c>
      <c r="F13" s="4" t="str">
        <f>IF(SUM($E$6:E13)=N13,"ok","nok")</f>
        <v>ok</v>
      </c>
      <c r="G13" t="b">
        <f t="shared" si="1"/>
        <v>1</v>
      </c>
      <c r="H13" t="b">
        <f t="shared" si="2"/>
        <v>1</v>
      </c>
      <c r="I13" t="str">
        <f t="shared" si="3"/>
        <v>VERDADEIRO</v>
      </c>
      <c r="K13" s="9" t="s">
        <v>27</v>
      </c>
      <c r="L13" s="9" t="s">
        <v>28</v>
      </c>
      <c r="M13" s="10">
        <v>53</v>
      </c>
      <c r="N13" s="10">
        <v>57</v>
      </c>
      <c r="O13" s="10">
        <v>5</v>
      </c>
      <c r="P13" s="9" t="s">
        <v>15</v>
      </c>
    </row>
    <row r="14" spans="1:16" ht="15" customHeight="1">
      <c r="A14" s="38" t="s">
        <v>166</v>
      </c>
      <c r="B14" s="1" t="s">
        <v>2</v>
      </c>
      <c r="C14">
        <f>VALUE(B14)</f>
        <v>9</v>
      </c>
      <c r="D14" t="str">
        <f t="array" ref="D14">_xlfn.IFS(I14="","",I14="VERDADEIRO","Num",I14&lt;&gt;"VERDADEIRO","Alfa")</f>
        <v>Alfa</v>
      </c>
      <c r="E14">
        <f t="shared" si="0"/>
        <v>1</v>
      </c>
      <c r="F14" s="4" t="str">
        <f>IF(SUM($E$6:E14)=N14,"ok","nok")</f>
        <v>ok</v>
      </c>
      <c r="G14" t="b">
        <f t="shared" si="1"/>
        <v>1</v>
      </c>
      <c r="H14" t="b">
        <f t="shared" si="2"/>
        <v>0</v>
      </c>
      <c r="I14" t="str">
        <f t="shared" si="3"/>
        <v>FALSO</v>
      </c>
      <c r="K14" s="9" t="s">
        <v>29</v>
      </c>
      <c r="L14" s="35" t="s">
        <v>165</v>
      </c>
      <c r="M14" s="10">
        <v>58</v>
      </c>
      <c r="N14" s="10">
        <v>58</v>
      </c>
      <c r="O14" s="10">
        <v>1</v>
      </c>
      <c r="P14" s="9" t="s">
        <v>22</v>
      </c>
    </row>
    <row r="15" spans="1:16" ht="15" customHeight="1">
      <c r="A15" s="9" t="s">
        <v>31</v>
      </c>
      <c r="B15" s="1">
        <v>4526485</v>
      </c>
      <c r="C15" t="str">
        <f>TEXT(B15,"00000000000#")</f>
        <v>000004526485</v>
      </c>
      <c r="D15" t="str">
        <f t="array" ref="D15">_xlfn.IFS(I15="","",I15="VERDADEIRO","Num",I15&lt;&gt;"VERDADEIRO","Alfa")</f>
        <v>Num</v>
      </c>
      <c r="E15">
        <f t="shared" si="0"/>
        <v>12</v>
      </c>
      <c r="F15" s="4" t="str">
        <f>IF(SUM($E$6:E15)=N15,"ok","nok")</f>
        <v>ok</v>
      </c>
      <c r="G15" t="b">
        <f t="shared" si="1"/>
        <v>1</v>
      </c>
      <c r="H15" t="b">
        <f t="shared" si="2"/>
        <v>1</v>
      </c>
      <c r="I15" t="str">
        <f t="shared" si="3"/>
        <v>VERDADEIRO</v>
      </c>
      <c r="K15" s="9" t="s">
        <v>31</v>
      </c>
      <c r="L15" s="11"/>
      <c r="M15" s="10">
        <v>59</v>
      </c>
      <c r="N15" s="10">
        <v>70</v>
      </c>
      <c r="O15" s="10">
        <v>12</v>
      </c>
      <c r="P15" s="9" t="s">
        <v>15</v>
      </c>
    </row>
    <row r="16" spans="1:16" ht="15" customHeight="1">
      <c r="A16" s="9" t="s">
        <v>32</v>
      </c>
      <c r="B16" s="1" t="s">
        <v>2</v>
      </c>
      <c r="C16" t="str">
        <f>TEXT(B16,"#")</f>
        <v>9</v>
      </c>
      <c r="D16" t="str">
        <f t="array" ref="D16">_xlfn.IFS(I16="","",I16="VERDADEIRO","Num",I16&lt;&gt;"VERDADEIRO","Alfa")</f>
        <v>Alfa</v>
      </c>
      <c r="E16">
        <f t="shared" si="0"/>
        <v>1</v>
      </c>
      <c r="F16" s="4" t="str">
        <f>IF(SUM($E$6:E16)=N16,"ok","nok")</f>
        <v>ok</v>
      </c>
      <c r="G16" t="b">
        <f t="shared" si="1"/>
        <v>1</v>
      </c>
      <c r="H16" t="b">
        <f t="shared" si="2"/>
        <v>0</v>
      </c>
      <c r="I16" t="str">
        <f t="shared" si="3"/>
        <v>FALSO</v>
      </c>
      <c r="K16" s="9" t="s">
        <v>32</v>
      </c>
      <c r="L16" s="11"/>
      <c r="M16" s="10">
        <v>71</v>
      </c>
      <c r="N16" s="10">
        <v>71</v>
      </c>
      <c r="O16" s="10">
        <v>1</v>
      </c>
      <c r="P16" s="9" t="s">
        <v>22</v>
      </c>
    </row>
    <row r="17" spans="1:16" ht="15" customHeight="1">
      <c r="A17" s="9" t="s">
        <v>20</v>
      </c>
      <c r="B17" s="1" t="s">
        <v>3</v>
      </c>
      <c r="C17" t="str">
        <f>B17</f>
        <v xml:space="preserve"> </v>
      </c>
      <c r="D17" t="str">
        <f t="array" ref="D17">_xlfn.IFS(I17="","",I17="VERDADEIRO","Num",I17&lt;&gt;"VERDADEIRO","Alfa")</f>
        <v>Alfa</v>
      </c>
      <c r="E17">
        <f t="shared" si="0"/>
        <v>1</v>
      </c>
      <c r="F17" s="4" t="str">
        <f>IF(SUM($E$6:E17)=N17,"ok","nok")</f>
        <v>ok</v>
      </c>
      <c r="G17" t="b">
        <f t="shared" si="1"/>
        <v>1</v>
      </c>
      <c r="H17" t="b">
        <f t="shared" si="2"/>
        <v>0</v>
      </c>
      <c r="I17" t="str">
        <f t="shared" si="3"/>
        <v>FALSO</v>
      </c>
      <c r="K17" s="9" t="s">
        <v>20</v>
      </c>
      <c r="L17" s="9" t="s">
        <v>33</v>
      </c>
      <c r="M17" s="10">
        <v>72</v>
      </c>
      <c r="N17" s="10">
        <v>72</v>
      </c>
      <c r="O17" s="10">
        <v>1</v>
      </c>
      <c r="P17" s="9" t="s">
        <v>22</v>
      </c>
    </row>
    <row r="18" spans="1:16" ht="15" customHeight="1">
      <c r="A18" s="9" t="s">
        <v>34</v>
      </c>
      <c r="B18" s="1" t="s">
        <v>1036</v>
      </c>
      <c r="C18" t="str">
        <f>B18</f>
        <v xml:space="preserve">FICTICIA LIMITADA             </v>
      </c>
      <c r="D18" t="str">
        <f t="array" ref="D18">_xlfn.IFS(I18="","",I18="VERDADEIRO","Num",I18&lt;&gt;"VERDADEIRO","Alfa")</f>
        <v>Alfa</v>
      </c>
      <c r="E18">
        <f t="shared" si="0"/>
        <v>30</v>
      </c>
      <c r="F18" s="4" t="str">
        <f>IF(SUM($E$6:E18)=N18,"ok","nok")</f>
        <v>ok</v>
      </c>
      <c r="G18" t="b">
        <f t="shared" si="1"/>
        <v>1</v>
      </c>
      <c r="H18" t="b">
        <f t="shared" si="2"/>
        <v>0</v>
      </c>
      <c r="I18" t="str">
        <f t="shared" si="3"/>
        <v>FALSO</v>
      </c>
      <c r="K18" s="9" t="s">
        <v>34</v>
      </c>
      <c r="L18" s="11"/>
      <c r="M18" s="10">
        <v>73</v>
      </c>
      <c r="N18" s="10">
        <v>102</v>
      </c>
      <c r="O18" s="10">
        <v>30</v>
      </c>
      <c r="P18" s="9" t="s">
        <v>22</v>
      </c>
    </row>
    <row r="19" spans="1:16" ht="15" customHeight="1">
      <c r="A19" s="9" t="s">
        <v>35</v>
      </c>
      <c r="B19" s="1" t="s">
        <v>188</v>
      </c>
      <c r="C19" t="str">
        <f>B19</f>
        <v xml:space="preserve">BANCO INTER                   </v>
      </c>
      <c r="D19" t="str">
        <f t="array" ref="D19">_xlfn.IFS(I19="","",I19="VERDADEIRO","Num",I19&lt;&gt;"VERDADEIRO","Alfa")</f>
        <v>Alfa</v>
      </c>
      <c r="E19">
        <f t="shared" si="0"/>
        <v>30</v>
      </c>
      <c r="F19" s="4" t="str">
        <f>IF(SUM($E$6:E19)=N19,"ok","nok")</f>
        <v>ok</v>
      </c>
      <c r="G19" t="b">
        <f t="shared" si="1"/>
        <v>1</v>
      </c>
      <c r="H19" t="b">
        <f t="shared" si="2"/>
        <v>0</v>
      </c>
      <c r="I19" t="str">
        <f t="shared" si="3"/>
        <v>FALSO</v>
      </c>
      <c r="K19" s="9" t="s">
        <v>35</v>
      </c>
      <c r="L19" s="9" t="s">
        <v>36</v>
      </c>
      <c r="M19" s="10">
        <v>103</v>
      </c>
      <c r="N19" s="10">
        <v>132</v>
      </c>
      <c r="O19" s="10">
        <v>30</v>
      </c>
      <c r="P19" s="9" t="s">
        <v>22</v>
      </c>
    </row>
    <row r="20" spans="1:16" ht="15" customHeight="1">
      <c r="A20" s="9" t="s">
        <v>20</v>
      </c>
      <c r="B20" s="1" t="s">
        <v>4</v>
      </c>
      <c r="C20" t="str">
        <f>B20</f>
        <v xml:space="preserve">          </v>
      </c>
      <c r="D20" t="str">
        <f t="array" ref="D20">_xlfn.IFS(I20="","",I20="VERDADEIRO","Num",I20&lt;&gt;"VERDADEIRO","Alfa")</f>
        <v>Alfa</v>
      </c>
      <c r="E20">
        <f t="shared" si="0"/>
        <v>10</v>
      </c>
      <c r="F20" s="4" t="str">
        <f>IF(SUM($E$6:E20)=N20,"ok","nok")</f>
        <v>ok</v>
      </c>
      <c r="G20" t="b">
        <f t="shared" si="1"/>
        <v>1</v>
      </c>
      <c r="H20" t="b">
        <f t="shared" si="2"/>
        <v>0</v>
      </c>
      <c r="I20" t="str">
        <f t="shared" si="3"/>
        <v>FALSO</v>
      </c>
      <c r="J20" t="s">
        <v>3</v>
      </c>
      <c r="K20" s="9" t="s">
        <v>20</v>
      </c>
      <c r="L20" s="9" t="s">
        <v>21</v>
      </c>
      <c r="M20" s="10">
        <v>133</v>
      </c>
      <c r="N20" s="10">
        <v>142</v>
      </c>
      <c r="O20" s="10">
        <v>10</v>
      </c>
      <c r="P20" s="9" t="s">
        <v>22</v>
      </c>
    </row>
    <row r="21" spans="1:16" ht="15" customHeight="1">
      <c r="A21" s="9" t="s">
        <v>37</v>
      </c>
      <c r="B21">
        <v>1</v>
      </c>
      <c r="C21">
        <f>B21</f>
        <v>1</v>
      </c>
      <c r="D21" t="str">
        <f t="array" ref="D21">_xlfn.IFS(I21="","",I21="VERDADEIRO","Num",I21&lt;&gt;"VERDADEIRO","Alfa")</f>
        <v>Num</v>
      </c>
      <c r="E21">
        <f t="shared" si="0"/>
        <v>1</v>
      </c>
      <c r="F21" s="4" t="str">
        <f>IF(SUM($E$6:E21)=N21,"ok","nok")</f>
        <v>ok</v>
      </c>
      <c r="G21" t="b">
        <f t="shared" si="1"/>
        <v>1</v>
      </c>
      <c r="H21" t="b">
        <f t="shared" si="2"/>
        <v>1</v>
      </c>
      <c r="I21" t="str">
        <f t="shared" si="3"/>
        <v>VERDADEIRO</v>
      </c>
      <c r="J21" t="s">
        <v>3</v>
      </c>
      <c r="K21" s="9" t="s">
        <v>37</v>
      </c>
      <c r="L21" s="9" t="s">
        <v>38</v>
      </c>
      <c r="M21" s="10">
        <v>143</v>
      </c>
      <c r="N21" s="10">
        <v>143</v>
      </c>
      <c r="O21" s="10">
        <v>1</v>
      </c>
      <c r="P21" s="9" t="s">
        <v>15</v>
      </c>
    </row>
    <row r="22" spans="1:16" ht="15" customHeight="1">
      <c r="A22" s="12" t="s">
        <v>39</v>
      </c>
      <c r="B22" s="3">
        <f ca="1">TODAY()</f>
        <v>45687</v>
      </c>
      <c r="C22" t="str">
        <f ca="1">TEXT(B22,"DDMMAAAA")</f>
        <v>30012025</v>
      </c>
      <c r="D22" t="str">
        <f t="array" aca="1" ref="D22" ca="1">_xlfn.IFS(I22="","",I22="VERDADEIRO","Num",I22&lt;&gt;"VERDADEIRO","Alfa")</f>
        <v>Num</v>
      </c>
      <c r="E22">
        <f t="shared" ca="1" si="0"/>
        <v>8</v>
      </c>
      <c r="F22" s="4" t="str">
        <f ca="1">IF(SUM($E$6:E22)=N22,"ok","nok")</f>
        <v>ok</v>
      </c>
      <c r="G22" t="b">
        <f t="shared" ca="1" si="1"/>
        <v>1</v>
      </c>
      <c r="H22" t="b">
        <f t="shared" ca="1" si="2"/>
        <v>1</v>
      </c>
      <c r="I22" t="str">
        <f t="shared" ca="1" si="3"/>
        <v>VERDADEIRO</v>
      </c>
      <c r="K22" s="12" t="s">
        <v>39</v>
      </c>
      <c r="L22" s="12" t="s">
        <v>40</v>
      </c>
      <c r="M22" s="13">
        <v>144</v>
      </c>
      <c r="N22" s="13">
        <v>151</v>
      </c>
      <c r="O22" s="13">
        <v>8</v>
      </c>
      <c r="P22" s="12" t="s">
        <v>15</v>
      </c>
    </row>
    <row r="23" spans="1:16" ht="15" customHeight="1">
      <c r="A23" s="9" t="s">
        <v>41</v>
      </c>
      <c r="B23" t="str">
        <f ca="1">TEXT(VALUE(_xlfn.CONCAT(HOUR(NOW()),MINUTE(NOW()),SECOND(NOW()))),"00000#")</f>
        <v>124914</v>
      </c>
      <c r="C23" t="str">
        <f ca="1">TRIM(B23)</f>
        <v>124914</v>
      </c>
      <c r="D23" t="str">
        <f t="array" aca="1" ref="D23" ca="1">_xlfn.IFS(I23="","",I23="VERDADEIRO","Num",I23&lt;&gt;"VERDADEIRO","Alfa")</f>
        <v>Alfa</v>
      </c>
      <c r="E23">
        <f t="shared" ca="1" si="0"/>
        <v>6</v>
      </c>
      <c r="F23" s="4" t="str">
        <f ca="1">IF(SUM($E$6:E23)=N23,"ok","nok")</f>
        <v>ok</v>
      </c>
      <c r="G23" t="b">
        <f t="shared" ca="1" si="1"/>
        <v>1</v>
      </c>
      <c r="H23" t="b">
        <f t="shared" ca="1" si="2"/>
        <v>0</v>
      </c>
      <c r="I23" t="str">
        <f t="shared" ca="1" si="3"/>
        <v>FALSO</v>
      </c>
      <c r="K23" s="9" t="s">
        <v>41</v>
      </c>
      <c r="L23" s="9" t="s">
        <v>42</v>
      </c>
      <c r="M23" s="10">
        <v>152</v>
      </c>
      <c r="N23" s="10">
        <v>157</v>
      </c>
      <c r="O23" s="10">
        <v>6</v>
      </c>
      <c r="P23" s="9" t="s">
        <v>15</v>
      </c>
    </row>
    <row r="24" spans="1:16" ht="15" customHeight="1">
      <c r="A24" s="9" t="s">
        <v>43</v>
      </c>
      <c r="B24">
        <f>Registros!D1</f>
        <v>34</v>
      </c>
      <c r="C24" t="str">
        <f>TEXT(B24,"00000#")</f>
        <v>000034</v>
      </c>
      <c r="D24" t="str">
        <f t="array" ref="D24">_xlfn.IFS(I24="","",I24="VERDADEIRO","Num",I24&lt;&gt;"VERDADEIRO","Alfa")</f>
        <v>Num</v>
      </c>
      <c r="E24">
        <f t="shared" si="0"/>
        <v>6</v>
      </c>
      <c r="F24" s="4" t="str">
        <f ca="1">IF(SUM($E$6:E24)=N24,"ok","nok")</f>
        <v>ok</v>
      </c>
      <c r="G24" t="b">
        <f t="shared" si="1"/>
        <v>1</v>
      </c>
      <c r="H24" t="b">
        <f t="shared" si="2"/>
        <v>1</v>
      </c>
      <c r="I24" t="str">
        <f t="shared" si="3"/>
        <v>VERDADEIRO</v>
      </c>
      <c r="K24" s="9" t="s">
        <v>43</v>
      </c>
      <c r="L24" s="11"/>
      <c r="M24" s="10">
        <v>158</v>
      </c>
      <c r="N24" s="10">
        <v>163</v>
      </c>
      <c r="O24" s="10">
        <v>6</v>
      </c>
      <c r="P24" s="9" t="s">
        <v>15</v>
      </c>
    </row>
    <row r="25" spans="1:16" ht="15" customHeight="1">
      <c r="A25" s="9" t="s">
        <v>44</v>
      </c>
      <c r="B25">
        <v>107</v>
      </c>
      <c r="C25">
        <f>B25</f>
        <v>107</v>
      </c>
      <c r="D25" t="str">
        <f t="array" ref="D25">_xlfn.IFS(I25="","",I25="VERDADEIRO","Num",I25&lt;&gt;"VERDADEIRO","Alfa")</f>
        <v>Num</v>
      </c>
      <c r="E25">
        <f t="shared" si="0"/>
        <v>3</v>
      </c>
      <c r="F25" s="4" t="str">
        <f ca="1">IF(SUM($E$6:E25)=N25,"ok","nok")</f>
        <v>ok</v>
      </c>
      <c r="G25" t="b">
        <f t="shared" si="1"/>
        <v>1</v>
      </c>
      <c r="H25" t="b">
        <f t="shared" si="2"/>
        <v>1</v>
      </c>
      <c r="I25" t="str">
        <f t="shared" si="3"/>
        <v>VERDADEIRO</v>
      </c>
      <c r="K25" s="9" t="s">
        <v>44</v>
      </c>
      <c r="L25" s="9" t="s">
        <v>45</v>
      </c>
      <c r="M25" s="10">
        <v>164</v>
      </c>
      <c r="N25" s="10">
        <v>166</v>
      </c>
      <c r="O25" s="10">
        <v>3</v>
      </c>
      <c r="P25" s="9" t="s">
        <v>15</v>
      </c>
    </row>
    <row r="26" spans="1:16" ht="15" customHeight="1">
      <c r="A26" s="9" t="s">
        <v>46</v>
      </c>
      <c r="B26" s="1">
        <v>1600</v>
      </c>
      <c r="C26" t="str">
        <f>TEXT(B26,"0000#")</f>
        <v>01600</v>
      </c>
      <c r="D26" t="str">
        <f t="array" ref="D26">_xlfn.IFS(I26="","",I26="VERDADEIRO","Num",I26&lt;&gt;"VERDADEIRO","Alfa")</f>
        <v>Num</v>
      </c>
      <c r="E26">
        <f t="shared" si="0"/>
        <v>5</v>
      </c>
      <c r="F26" s="4" t="str">
        <f ca="1">IF(SUM($E$6:E26)=N26,"ok","nok")</f>
        <v>ok</v>
      </c>
      <c r="G26" t="b">
        <f t="shared" si="1"/>
        <v>1</v>
      </c>
      <c r="H26" t="b">
        <f t="shared" si="2"/>
        <v>1</v>
      </c>
      <c r="I26" t="str">
        <f t="shared" si="3"/>
        <v>VERDADEIRO</v>
      </c>
      <c r="K26" s="9" t="s">
        <v>46</v>
      </c>
      <c r="L26" s="9" t="s">
        <v>47</v>
      </c>
      <c r="M26" s="10">
        <v>167</v>
      </c>
      <c r="N26" s="10">
        <v>171</v>
      </c>
      <c r="O26" s="10">
        <v>5</v>
      </c>
      <c r="P26" s="9" t="s">
        <v>15</v>
      </c>
    </row>
    <row r="27" spans="1:16" ht="15" customHeight="1">
      <c r="A27" s="9" t="s">
        <v>48</v>
      </c>
      <c r="B27" s="1" t="s">
        <v>1</v>
      </c>
      <c r="C27" t="str">
        <f>B27</f>
        <v xml:space="preserve">                    </v>
      </c>
      <c r="D27" t="str">
        <f t="array" ref="D27">_xlfn.IFS(I27="","",I27="VERDADEIRO","Num",I27&lt;&gt;"VERDADEIRO","Alfa")</f>
        <v>Alfa</v>
      </c>
      <c r="E27">
        <f t="shared" si="0"/>
        <v>20</v>
      </c>
      <c r="F27" s="4" t="str">
        <f ca="1">IF(SUM($E$6:E27)=N27,"ok","nok")</f>
        <v>ok</v>
      </c>
      <c r="G27" t="b">
        <f t="shared" si="1"/>
        <v>1</v>
      </c>
      <c r="H27" t="b">
        <f t="shared" si="2"/>
        <v>0</v>
      </c>
      <c r="I27" t="str">
        <f t="shared" si="3"/>
        <v>FALSO</v>
      </c>
      <c r="K27" s="9" t="s">
        <v>48</v>
      </c>
      <c r="L27" s="9" t="s">
        <v>21</v>
      </c>
      <c r="M27" s="10">
        <v>172</v>
      </c>
      <c r="N27" s="10">
        <v>191</v>
      </c>
      <c r="O27" s="10">
        <v>20</v>
      </c>
      <c r="P27" s="9" t="s">
        <v>22</v>
      </c>
    </row>
    <row r="28" spans="1:16" ht="15" customHeight="1">
      <c r="A28" s="9" t="s">
        <v>49</v>
      </c>
      <c r="B28" s="1" t="s">
        <v>1</v>
      </c>
      <c r="C28" t="str">
        <f>B28</f>
        <v xml:space="preserve">                    </v>
      </c>
      <c r="D28" t="str">
        <f t="array" ref="D28">_xlfn.IFS(I28="","",I28="VERDADEIRO","Num",I28&lt;&gt;"VERDADEIRO","Alfa")</f>
        <v>Alfa</v>
      </c>
      <c r="E28">
        <f t="shared" si="0"/>
        <v>20</v>
      </c>
      <c r="F28" s="4" t="str">
        <f ca="1">IF(SUM($E$6:E28)=N28,"ok","nok")</f>
        <v>ok</v>
      </c>
      <c r="G28" t="b">
        <f t="shared" si="1"/>
        <v>1</v>
      </c>
      <c r="H28" t="b">
        <f t="shared" si="2"/>
        <v>0</v>
      </c>
      <c r="I28" t="str">
        <f t="shared" si="3"/>
        <v>FALSO</v>
      </c>
      <c r="K28" s="9" t="s">
        <v>49</v>
      </c>
      <c r="L28" s="9" t="s">
        <v>21</v>
      </c>
      <c r="M28" s="10">
        <v>192</v>
      </c>
      <c r="N28" s="10">
        <v>211</v>
      </c>
      <c r="O28" s="10">
        <v>20</v>
      </c>
      <c r="P28" s="9" t="s">
        <v>22</v>
      </c>
    </row>
    <row r="29" spans="1:16" ht="15" customHeight="1">
      <c r="A29" s="9" t="s">
        <v>20</v>
      </c>
      <c r="B29" s="1" t="s">
        <v>5</v>
      </c>
      <c r="C29" t="str">
        <f>B29</f>
        <v xml:space="preserve">                             </v>
      </c>
      <c r="D29" t="str">
        <f t="array" ref="D29">_xlfn.IFS(I29="","",I29="VERDADEIRO","Num",I29&lt;&gt;"VERDADEIRO","Alfa")</f>
        <v>Alfa</v>
      </c>
      <c r="E29">
        <f t="shared" si="0"/>
        <v>29</v>
      </c>
      <c r="F29" s="4" t="str">
        <f ca="1">IF(SUM($E$6:E29)=N29,"ok","nok")</f>
        <v>ok</v>
      </c>
      <c r="G29" t="b">
        <f t="shared" si="1"/>
        <v>1</v>
      </c>
      <c r="H29" t="b">
        <f t="shared" si="2"/>
        <v>0</v>
      </c>
      <c r="I29" t="str">
        <f t="shared" si="3"/>
        <v>FALSO</v>
      </c>
      <c r="K29" s="9" t="s">
        <v>20</v>
      </c>
      <c r="L29" s="9" t="s">
        <v>21</v>
      </c>
      <c r="M29" s="10">
        <v>212</v>
      </c>
      <c r="N29" s="10">
        <v>240</v>
      </c>
      <c r="O29" s="10">
        <v>29</v>
      </c>
      <c r="P29" s="9" t="s">
        <v>22</v>
      </c>
    </row>
    <row r="30" spans="1:16" ht="15" customHeight="1"/>
    <row r="32" spans="1:16">
      <c r="D32" t="str">
        <f t="array" ref="D32">_xlfn.IFS(H32="","",H32="VERDADEIRO","Num",H32&lt;&gt;"VERDADEIRO","Alfa")</f>
        <v/>
      </c>
      <c r="E32" t="str">
        <f t="shared" ref="E32:E39" si="4">IF(LEN(C32)=0,"",LEN(C32))</f>
        <v/>
      </c>
      <c r="F32" t="str">
        <f>IF(B32="","",(ISNUMBER(B32)))</f>
        <v/>
      </c>
      <c r="H32" t="str">
        <f t="shared" ref="H32:H39" si="5">TRIM(F32)</f>
        <v/>
      </c>
    </row>
    <row r="33" spans="4:8">
      <c r="D33" t="str">
        <f t="array" ref="D33">_xlfn.IFS(H33="","",H33="VERDADEIRO","Num",H33&lt;&gt;"VERDADEIRO","Alfa")</f>
        <v/>
      </c>
      <c r="E33" t="str">
        <f t="shared" si="4"/>
        <v/>
      </c>
      <c r="F33" t="str">
        <f>IF(B33="","",(ISNUMBER(B33)))</f>
        <v/>
      </c>
      <c r="H33" t="str">
        <f t="shared" si="5"/>
        <v/>
      </c>
    </row>
    <row r="36" spans="4:8">
      <c r="D36" t="str">
        <f t="array" ref="D36">_xlfn.IFS(H36="","",H36="VERDADEIRO","Num",H36&lt;&gt;"VERDADEIRO","Alfa")</f>
        <v/>
      </c>
      <c r="E36" t="str">
        <f t="shared" si="4"/>
        <v/>
      </c>
      <c r="F36" t="str">
        <f>IF(B36="","",(ISNUMBER(B36)))</f>
        <v/>
      </c>
      <c r="H36" t="str">
        <f t="shared" si="5"/>
        <v/>
      </c>
    </row>
    <row r="37" spans="4:8">
      <c r="D37" t="str">
        <f t="array" ref="D37">_xlfn.IFS(H37="","",H37="VERDADEIRO","Num",H37&lt;&gt;"VERDADEIRO","Alfa")</f>
        <v/>
      </c>
      <c r="E37" t="str">
        <f t="shared" si="4"/>
        <v/>
      </c>
      <c r="F37" t="str">
        <f>IF(B37="","",(ISNUMBER(B37)))</f>
        <v/>
      </c>
      <c r="H37" t="str">
        <f t="shared" si="5"/>
        <v/>
      </c>
    </row>
    <row r="38" spans="4:8">
      <c r="D38" t="str">
        <f t="array" ref="D38">_xlfn.IFS(H38="","",H38="VERDADEIRO","Num",H38&lt;&gt;"VERDADEIRO","Alfa")</f>
        <v/>
      </c>
      <c r="E38" t="str">
        <f t="shared" si="4"/>
        <v/>
      </c>
      <c r="F38" t="str">
        <f>IF(B38="","",(ISNUMBER(B38)))</f>
        <v/>
      </c>
      <c r="H38" t="str">
        <f t="shared" si="5"/>
        <v/>
      </c>
    </row>
    <row r="39" spans="4:8">
      <c r="D39" t="str">
        <f t="array" ref="D39">_xlfn.IFS(H39="","",H39="VERDADEIRO","Num",H39&lt;&gt;"VERDADEIRO","Alfa")</f>
        <v/>
      </c>
      <c r="E39" t="str">
        <f t="shared" si="4"/>
        <v/>
      </c>
      <c r="F39" t="str">
        <f>IF(B39="","",(ISNUMBER(B39)))</f>
        <v/>
      </c>
      <c r="H39" t="str">
        <f t="shared" si="5"/>
        <v/>
      </c>
    </row>
  </sheetData>
  <mergeCells count="6">
    <mergeCell ref="G4:G5"/>
    <mergeCell ref="A4:A5"/>
    <mergeCell ref="B4:B5"/>
    <mergeCell ref="D4:D5"/>
    <mergeCell ref="E4:E5"/>
    <mergeCell ref="F4:F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06745-A680-4F75-B9F7-8A151ED44197}">
  <sheetPr codeName="Planilha3"/>
  <dimension ref="A1:P32"/>
  <sheetViews>
    <sheetView zoomScale="80" zoomScaleNormal="80" workbookViewId="0">
      <selection activeCell="B19" sqref="B19"/>
    </sheetView>
  </sheetViews>
  <sheetFormatPr defaultRowHeight="15"/>
  <cols>
    <col min="1" max="1" width="60.85546875" bestFit="1" customWidth="1"/>
    <col min="2" max="2" width="15" bestFit="1" customWidth="1"/>
    <col min="3" max="3" width="20.5703125" customWidth="1"/>
    <col min="4" max="4" width="8.85546875" customWidth="1"/>
    <col min="5" max="5" width="17.28515625" bestFit="1" customWidth="1"/>
    <col min="6" max="6" width="10.7109375" bestFit="1" customWidth="1"/>
    <col min="7" max="7" width="18" bestFit="1" customWidth="1"/>
    <col min="8" max="9" width="13.42578125" bestFit="1" customWidth="1"/>
    <col min="10" max="10" width="10.140625" customWidth="1"/>
    <col min="11" max="11" width="51.140625" customWidth="1"/>
    <col min="12" max="12" width="42.140625" customWidth="1"/>
    <col min="13" max="13" width="6.7109375" bestFit="1" customWidth="1"/>
    <col min="14" max="14" width="4" bestFit="1" customWidth="1"/>
    <col min="15" max="15" width="16.28515625" bestFit="1" customWidth="1"/>
    <col min="16" max="16" width="7.7109375" bestFit="1" customWidth="1"/>
  </cols>
  <sheetData>
    <row r="1" spans="1:16">
      <c r="A1" s="5" t="s">
        <v>169</v>
      </c>
    </row>
    <row r="2" spans="1:16" ht="51">
      <c r="A2" s="9" t="str">
        <f>_xlfn.CONCAT(C6:C32)</f>
        <v xml:space="preserve">07700341C2045046 254268450000145                    0000190000045264859 FICTICIA LIMITADA                                                     Rua Portico Guilhermina       02310               Ribeirao Preto      10010510SP                  </v>
      </c>
      <c r="B2" s="5">
        <f>LEN(A2)</f>
        <v>240</v>
      </c>
    </row>
    <row r="4" spans="1:16" ht="15" customHeight="1">
      <c r="A4" s="41" t="s">
        <v>6</v>
      </c>
      <c r="B4" s="41" t="s">
        <v>7</v>
      </c>
      <c r="D4" s="14" t="s">
        <v>10</v>
      </c>
      <c r="E4" s="81" t="s">
        <v>9</v>
      </c>
      <c r="F4" s="85" t="s">
        <v>160</v>
      </c>
      <c r="G4" s="39" t="s">
        <v>167</v>
      </c>
      <c r="K4" s="81" t="s">
        <v>6</v>
      </c>
      <c r="L4" s="81" t="s">
        <v>7</v>
      </c>
      <c r="M4" s="7" t="s">
        <v>8</v>
      </c>
      <c r="N4" s="8"/>
      <c r="O4" s="81" t="s">
        <v>9</v>
      </c>
      <c r="P4" s="83" t="s">
        <v>10</v>
      </c>
    </row>
    <row r="5" spans="1:16" ht="15" customHeight="1">
      <c r="A5" s="42"/>
      <c r="B5" s="42"/>
      <c r="D5" s="15"/>
      <c r="E5" s="82"/>
      <c r="F5" s="86"/>
      <c r="G5" s="40"/>
      <c r="K5" s="82"/>
      <c r="L5" s="82"/>
      <c r="M5" s="7" t="s">
        <v>11</v>
      </c>
      <c r="N5" s="7" t="s">
        <v>12</v>
      </c>
      <c r="O5" s="82"/>
      <c r="P5" s="84"/>
    </row>
    <row r="6" spans="1:16" ht="15" customHeight="1">
      <c r="A6" s="9" t="s">
        <v>13</v>
      </c>
      <c r="B6">
        <v>77</v>
      </c>
      <c r="C6" t="str">
        <f>TEXT(B6,"00#")</f>
        <v>077</v>
      </c>
      <c r="D6" t="str">
        <f>_xlfn.IFS(I6="","",I6="VERDADEIRO","Num",I6&lt;&gt;"VERDADEIRO","Alfa")</f>
        <v>Num</v>
      </c>
      <c r="E6">
        <f t="shared" ref="E6:E32" si="0">IF(LEN(C6)=0,"",LEN(C6))</f>
        <v>3</v>
      </c>
      <c r="F6" s="4" t="str">
        <f>IF(E6=N6,"ok",nok)</f>
        <v>ok</v>
      </c>
      <c r="G6" t="b">
        <f t="shared" ref="G6:G32" si="1">IF(E6="","",E6=O6)</f>
        <v>1</v>
      </c>
      <c r="H6" t="b">
        <f t="shared" ref="H6:H32" si="2">IF(B6="","",(ISNUMBER(B6)))</f>
        <v>1</v>
      </c>
      <c r="I6" t="str">
        <f>TRIM(H6)</f>
        <v>VERDADEIRO</v>
      </c>
      <c r="K6" s="9" t="s">
        <v>13</v>
      </c>
      <c r="L6" s="9" t="s">
        <v>14</v>
      </c>
      <c r="M6" s="10">
        <v>1</v>
      </c>
      <c r="N6" s="10">
        <v>3</v>
      </c>
      <c r="O6" s="10">
        <v>3</v>
      </c>
      <c r="P6" s="9" t="s">
        <v>15</v>
      </c>
    </row>
    <row r="7" spans="1:16" ht="15" customHeight="1">
      <c r="A7" s="12" t="s">
        <v>16</v>
      </c>
      <c r="B7">
        <f>Registros!D1</f>
        <v>34</v>
      </c>
      <c r="C7" t="str">
        <f>TEXT(B7,"000#")</f>
        <v>0034</v>
      </c>
      <c r="D7" t="str">
        <f t="array" ref="D7">_xlfn.IFS(I7="","",I7="VERDADEIRO","Num",I7&lt;&gt;"VERDADEIRO","Alfa")</f>
        <v>Num</v>
      </c>
      <c r="E7">
        <f t="shared" si="0"/>
        <v>4</v>
      </c>
      <c r="F7" s="4" t="str">
        <f>IF(SUM($E$6:E7)=N7,"ok","nok")</f>
        <v>ok</v>
      </c>
      <c r="G7" t="b">
        <f t="shared" si="1"/>
        <v>1</v>
      </c>
      <c r="H7" t="b">
        <f t="shared" si="2"/>
        <v>1</v>
      </c>
      <c r="I7" t="str">
        <f t="shared" ref="I7:I30" si="3">TRIM(H7)</f>
        <v>VERDADEIRO</v>
      </c>
      <c r="K7" s="12" t="s">
        <v>16</v>
      </c>
      <c r="L7" s="35" t="s">
        <v>154</v>
      </c>
      <c r="M7" s="13">
        <v>4</v>
      </c>
      <c r="N7" s="13">
        <v>7</v>
      </c>
      <c r="O7" s="13">
        <v>4</v>
      </c>
      <c r="P7" s="12" t="s">
        <v>15</v>
      </c>
    </row>
    <row r="8" spans="1:16" ht="15" customHeight="1">
      <c r="A8" s="9" t="s">
        <v>18</v>
      </c>
      <c r="B8" s="1">
        <v>1</v>
      </c>
      <c r="C8">
        <f>B8</f>
        <v>1</v>
      </c>
      <c r="D8" t="str">
        <f t="array" ref="D8">_xlfn.IFS(I8="","",I8="VERDADEIRO","Num",I8&lt;&gt;"VERDADEIRO","Alfa")</f>
        <v>Num</v>
      </c>
      <c r="E8">
        <f t="shared" si="0"/>
        <v>1</v>
      </c>
      <c r="F8" s="4" t="str">
        <f>IF(SUM($E$6:E8)=N8,"ok","nok")</f>
        <v>ok</v>
      </c>
      <c r="G8" t="b">
        <f t="shared" si="1"/>
        <v>1</v>
      </c>
      <c r="H8" t="b">
        <f t="shared" si="2"/>
        <v>1</v>
      </c>
      <c r="I8" t="str">
        <f t="shared" si="3"/>
        <v>VERDADEIRO</v>
      </c>
      <c r="K8" s="9" t="s">
        <v>18</v>
      </c>
      <c r="L8" s="9" t="s">
        <v>38</v>
      </c>
      <c r="M8" s="10">
        <v>8</v>
      </c>
      <c r="N8" s="10">
        <v>8</v>
      </c>
      <c r="O8" s="10">
        <v>1</v>
      </c>
      <c r="P8" s="9" t="s">
        <v>15</v>
      </c>
    </row>
    <row r="9" spans="1:16" ht="15" customHeight="1">
      <c r="A9" s="9" t="s">
        <v>50</v>
      </c>
      <c r="B9" s="1" t="s">
        <v>157</v>
      </c>
      <c r="C9" t="str">
        <f>B9</f>
        <v>C</v>
      </c>
      <c r="D9" t="str">
        <f t="array" ref="D9">_xlfn.IFS(I9="","",I9="VERDADEIRO","Num",I9&lt;&gt;"VERDADEIRO","Alfa")</f>
        <v>Alfa</v>
      </c>
      <c r="E9">
        <f t="shared" si="0"/>
        <v>1</v>
      </c>
      <c r="F9" s="4" t="str">
        <f>IF(SUM($E$6:E9)=N9,"ok","nok")</f>
        <v>ok</v>
      </c>
      <c r="G9" t="b">
        <f t="shared" si="1"/>
        <v>1</v>
      </c>
      <c r="H9" t="b">
        <f t="shared" si="2"/>
        <v>0</v>
      </c>
      <c r="I9" t="str">
        <f t="shared" si="3"/>
        <v>FALSO</v>
      </c>
      <c r="K9" s="9" t="s">
        <v>50</v>
      </c>
      <c r="L9" s="9" t="s">
        <v>51</v>
      </c>
      <c r="M9" s="10">
        <v>9</v>
      </c>
      <c r="N9" s="10">
        <v>9</v>
      </c>
      <c r="O9" s="10">
        <v>1</v>
      </c>
      <c r="P9" s="9" t="s">
        <v>22</v>
      </c>
    </row>
    <row r="10" spans="1:16" ht="15" customHeight="1">
      <c r="A10" s="12" t="s">
        <v>52</v>
      </c>
      <c r="B10">
        <v>20</v>
      </c>
      <c r="C10" t="str">
        <f>TEXT(B10,"00")</f>
        <v>20</v>
      </c>
      <c r="D10" t="str">
        <f t="array" ref="D10">_xlfn.IFS(I10="","",I10="VERDADEIRO","Num",I10&lt;&gt;"VERDADEIRO","Alfa")</f>
        <v>Num</v>
      </c>
      <c r="E10">
        <f t="shared" si="0"/>
        <v>2</v>
      </c>
      <c r="F10" s="4" t="str">
        <f>IF(SUM($E$6:E10)=N10,"ok","nok")</f>
        <v>ok</v>
      </c>
      <c r="G10" t="b">
        <f t="shared" si="1"/>
        <v>1</v>
      </c>
      <c r="H10" t="b">
        <f t="shared" si="2"/>
        <v>1</v>
      </c>
      <c r="I10" t="str">
        <f t="shared" si="3"/>
        <v>VERDADEIRO</v>
      </c>
      <c r="K10" s="36" t="s">
        <v>159</v>
      </c>
      <c r="L10" s="35" t="s">
        <v>158</v>
      </c>
      <c r="M10" s="13">
        <v>10</v>
      </c>
      <c r="N10" s="13">
        <v>11</v>
      </c>
      <c r="O10" s="13">
        <v>2</v>
      </c>
      <c r="P10" s="12" t="s">
        <v>15</v>
      </c>
    </row>
    <row r="11" spans="1:16" ht="15" customHeight="1">
      <c r="A11" s="9" t="s">
        <v>53</v>
      </c>
      <c r="B11">
        <v>45</v>
      </c>
      <c r="C11" t="str">
        <f>TEXT(B11,"00")</f>
        <v>45</v>
      </c>
      <c r="D11" t="str">
        <f t="array" ref="D11">_xlfn.IFS(I11="","",I11="VERDADEIRO","Num",I11&lt;&gt;"VERDADEIRO","Alfa")</f>
        <v>Num</v>
      </c>
      <c r="E11">
        <f t="shared" si="0"/>
        <v>2</v>
      </c>
      <c r="F11" s="4" t="str">
        <f>IF(SUM($E$6:E11)=N11,"ok","nok")</f>
        <v>ok</v>
      </c>
      <c r="G11" t="b">
        <f t="shared" si="1"/>
        <v>1</v>
      </c>
      <c r="H11" t="b">
        <f t="shared" si="2"/>
        <v>1</v>
      </c>
      <c r="I11" t="str">
        <f t="shared" si="3"/>
        <v>VERDADEIRO</v>
      </c>
      <c r="K11" s="9" t="s">
        <v>53</v>
      </c>
      <c r="L11" s="35" t="s">
        <v>170</v>
      </c>
      <c r="M11" s="10">
        <v>12</v>
      </c>
      <c r="N11" s="10">
        <v>13</v>
      </c>
      <c r="O11" s="10">
        <v>2</v>
      </c>
      <c r="P11" s="9" t="s">
        <v>15</v>
      </c>
    </row>
    <row r="12" spans="1:16" ht="15" customHeight="1">
      <c r="A12" s="9" t="s">
        <v>54</v>
      </c>
      <c r="B12" s="1">
        <v>46</v>
      </c>
      <c r="C12" t="str">
        <f>TEXT(B12,"000")</f>
        <v>046</v>
      </c>
      <c r="D12" t="str">
        <f t="array" ref="D12">_xlfn.IFS(I12="","",I12="VERDADEIRO","Num",I12&lt;&gt;"VERDADEIRO","Alfa")</f>
        <v>Num</v>
      </c>
      <c r="E12">
        <f t="shared" si="0"/>
        <v>3</v>
      </c>
      <c r="F12" s="4" t="str">
        <f>IF(SUM($E$6:E12)=N12,"ok","nok")</f>
        <v>ok</v>
      </c>
      <c r="G12" t="b">
        <f t="shared" si="1"/>
        <v>1</v>
      </c>
      <c r="H12" t="b">
        <f t="shared" si="2"/>
        <v>1</v>
      </c>
      <c r="I12" t="str">
        <f t="shared" si="3"/>
        <v>VERDADEIRO</v>
      </c>
      <c r="K12" s="9" t="s">
        <v>54</v>
      </c>
      <c r="L12" s="9" t="s">
        <v>55</v>
      </c>
      <c r="M12" s="10">
        <v>14</v>
      </c>
      <c r="N12" s="10">
        <v>16</v>
      </c>
      <c r="O12" s="10">
        <v>3</v>
      </c>
      <c r="P12" s="9" t="s">
        <v>15</v>
      </c>
    </row>
    <row r="13" spans="1:16" ht="15" customHeight="1">
      <c r="A13" s="9" t="s">
        <v>20</v>
      </c>
      <c r="B13" s="1" t="s">
        <v>3</v>
      </c>
      <c r="C13" t="str">
        <f>B13</f>
        <v xml:space="preserve"> </v>
      </c>
      <c r="D13" t="str">
        <f t="array" ref="D13">_xlfn.IFS(I13="","",I13="VERDADEIRO","Num",I13&lt;&gt;"VERDADEIRO","Alfa")</f>
        <v>Alfa</v>
      </c>
      <c r="E13">
        <f t="shared" si="0"/>
        <v>1</v>
      </c>
      <c r="F13" s="4" t="str">
        <f>IF(SUM($E$6:E13)=N13,"ok","nok")</f>
        <v>ok</v>
      </c>
      <c r="G13" t="b">
        <f t="shared" si="1"/>
        <v>1</v>
      </c>
      <c r="H13" t="b">
        <f t="shared" si="2"/>
        <v>0</v>
      </c>
      <c r="I13" t="str">
        <f t="shared" si="3"/>
        <v>FALSO</v>
      </c>
      <c r="K13" s="9" t="s">
        <v>20</v>
      </c>
      <c r="L13" s="9" t="s">
        <v>21</v>
      </c>
      <c r="M13" s="10">
        <v>17</v>
      </c>
      <c r="N13" s="10">
        <v>17</v>
      </c>
      <c r="O13" s="10">
        <v>1</v>
      </c>
      <c r="P13" s="9" t="s">
        <v>22</v>
      </c>
    </row>
    <row r="14" spans="1:16" ht="15" customHeight="1">
      <c r="A14" s="9" t="s">
        <v>23</v>
      </c>
      <c r="B14">
        <v>2</v>
      </c>
      <c r="C14">
        <f>B14</f>
        <v>2</v>
      </c>
      <c r="D14" t="str">
        <f t="array" ref="D14">_xlfn.IFS(I14="","",I14="VERDADEIRO","Num",I14&lt;&gt;"VERDADEIRO","Alfa")</f>
        <v>Num</v>
      </c>
      <c r="E14">
        <f t="shared" si="0"/>
        <v>1</v>
      </c>
      <c r="F14" s="4" t="str">
        <f>IF(SUM($E$6:E14)=N14,"ok","nok")</f>
        <v>ok</v>
      </c>
      <c r="G14" t="b">
        <f t="shared" si="1"/>
        <v>1</v>
      </c>
      <c r="H14" t="b">
        <f t="shared" si="2"/>
        <v>1</v>
      </c>
      <c r="I14" t="str">
        <f t="shared" si="3"/>
        <v>VERDADEIRO</v>
      </c>
      <c r="K14" s="9" t="s">
        <v>23</v>
      </c>
      <c r="L14" s="9" t="s">
        <v>24</v>
      </c>
      <c r="M14" s="10">
        <v>18</v>
      </c>
      <c r="N14" s="10">
        <v>18</v>
      </c>
      <c r="O14" s="10">
        <v>1</v>
      </c>
      <c r="P14" s="9" t="s">
        <v>15</v>
      </c>
    </row>
    <row r="15" spans="1:16" ht="15" customHeight="1">
      <c r="A15" s="9" t="s">
        <v>25</v>
      </c>
      <c r="B15" s="1" t="s">
        <v>1034</v>
      </c>
      <c r="C15" t="str">
        <f>B15</f>
        <v>54268450000145</v>
      </c>
      <c r="D15" t="str">
        <f t="array" ref="D15">_xlfn.IFS(I15="","",I15="VERDADEIRO","Num",I15&lt;&gt;"VERDADEIRO","Alfa")</f>
        <v>Alfa</v>
      </c>
      <c r="E15">
        <f t="shared" si="0"/>
        <v>14</v>
      </c>
      <c r="F15" s="4" t="str">
        <f>IF(SUM($E$6:E15)=N15,"ok","nok")</f>
        <v>ok</v>
      </c>
      <c r="G15" t="b">
        <f t="shared" si="1"/>
        <v>1</v>
      </c>
      <c r="H15" t="b">
        <f t="shared" si="2"/>
        <v>0</v>
      </c>
      <c r="I15" t="str">
        <f t="shared" si="3"/>
        <v>FALSO</v>
      </c>
      <c r="K15" s="9" t="s">
        <v>25</v>
      </c>
      <c r="L15" s="11"/>
      <c r="M15" s="10">
        <v>19</v>
      </c>
      <c r="N15" s="10">
        <v>32</v>
      </c>
      <c r="O15" s="10">
        <v>14</v>
      </c>
      <c r="P15" s="9" t="s">
        <v>15</v>
      </c>
    </row>
    <row r="16" spans="1:16" ht="15" customHeight="1">
      <c r="A16" s="38" t="s">
        <v>163</v>
      </c>
      <c r="B16" s="1" t="s">
        <v>1</v>
      </c>
      <c r="C16" t="str">
        <f>B16</f>
        <v xml:space="preserve">                    </v>
      </c>
      <c r="D16" t="str">
        <f t="array" ref="D16">_xlfn.IFS(I16="","",I16="VERDADEIRO","Num",I16&lt;&gt;"VERDADEIRO","Alfa")</f>
        <v>Alfa</v>
      </c>
      <c r="E16">
        <f t="shared" si="0"/>
        <v>20</v>
      </c>
      <c r="F16" s="4" t="str">
        <f>IF(SUM($E$6:E16)=N16,"ok","nok")</f>
        <v>ok</v>
      </c>
      <c r="G16" t="b">
        <f t="shared" si="1"/>
        <v>1</v>
      </c>
      <c r="H16" t="b">
        <f t="shared" si="2"/>
        <v>0</v>
      </c>
      <c r="I16" t="str">
        <f t="shared" si="3"/>
        <v>FALSO</v>
      </c>
      <c r="K16" s="35" t="s">
        <v>163</v>
      </c>
      <c r="L16" s="17"/>
      <c r="M16" s="10">
        <v>33</v>
      </c>
      <c r="N16" s="10">
        <v>52</v>
      </c>
      <c r="O16" s="10">
        <v>20</v>
      </c>
      <c r="P16" s="9" t="s">
        <v>22</v>
      </c>
    </row>
    <row r="17" spans="1:16" ht="15" customHeight="1">
      <c r="A17" s="35" t="s">
        <v>164</v>
      </c>
      <c r="B17">
        <v>1</v>
      </c>
      <c r="C17" t="str">
        <f>TEXT(B17,"0000#")</f>
        <v>00001</v>
      </c>
      <c r="D17" t="str">
        <f t="array" ref="D17">_xlfn.IFS(I17="","",I17="VERDADEIRO","Num",I17&lt;&gt;"VERDADEIRO","Alfa")</f>
        <v>Num</v>
      </c>
      <c r="E17">
        <f t="shared" si="0"/>
        <v>5</v>
      </c>
      <c r="F17" s="4" t="str">
        <f>IF(SUM($E$6:E17)=N17,"ok","nok")</f>
        <v>ok</v>
      </c>
      <c r="G17" t="b">
        <f t="shared" si="1"/>
        <v>1</v>
      </c>
      <c r="H17" t="b">
        <f t="shared" si="2"/>
        <v>1</v>
      </c>
      <c r="I17" t="str">
        <f t="shared" si="3"/>
        <v>VERDADEIRO</v>
      </c>
      <c r="K17" s="35" t="s">
        <v>164</v>
      </c>
      <c r="L17" s="9" t="s">
        <v>56</v>
      </c>
      <c r="M17" s="10">
        <v>53</v>
      </c>
      <c r="N17" s="10">
        <v>57</v>
      </c>
      <c r="O17" s="10">
        <v>5</v>
      </c>
      <c r="P17" s="9" t="s">
        <v>15</v>
      </c>
    </row>
    <row r="18" spans="1:16" ht="15" customHeight="1">
      <c r="A18" s="38" t="s">
        <v>166</v>
      </c>
      <c r="B18">
        <v>9</v>
      </c>
      <c r="C18">
        <f t="shared" ref="C18:C22" si="4">B18</f>
        <v>9</v>
      </c>
      <c r="D18" t="str">
        <f t="array" ref="D18">_xlfn.IFS(I18="","",I18="VERDADEIRO","Num",I18&lt;&gt;"VERDADEIRO","Alfa")</f>
        <v>Num</v>
      </c>
      <c r="E18">
        <f t="shared" si="0"/>
        <v>1</v>
      </c>
      <c r="F18" s="4" t="str">
        <f>IF(SUM($E$6:E18)=N18,"ok","nok")</f>
        <v>ok</v>
      </c>
      <c r="G18" t="b">
        <f t="shared" si="1"/>
        <v>1</v>
      </c>
      <c r="H18" t="b">
        <f t="shared" si="2"/>
        <v>1</v>
      </c>
      <c r="I18" t="str">
        <f t="shared" si="3"/>
        <v>VERDADEIRO</v>
      </c>
      <c r="K18" s="9" t="s">
        <v>29</v>
      </c>
      <c r="L18" s="9" t="s">
        <v>57</v>
      </c>
      <c r="M18" s="10">
        <v>58</v>
      </c>
      <c r="N18" s="10">
        <v>58</v>
      </c>
      <c r="O18" s="10">
        <v>1</v>
      </c>
      <c r="P18" s="9" t="s">
        <v>22</v>
      </c>
    </row>
    <row r="19" spans="1:16" ht="15" customHeight="1">
      <c r="A19" s="9" t="s">
        <v>31</v>
      </c>
      <c r="B19" s="1" t="s">
        <v>1037</v>
      </c>
      <c r="C19" t="str">
        <f t="shared" si="4"/>
        <v>000004526485</v>
      </c>
      <c r="D19" t="str">
        <f t="array" ref="D19">_xlfn.IFS(I19="","",I19="VERDADEIRO","Num",I19&lt;&gt;"VERDADEIRO","Alfa")</f>
        <v>Alfa</v>
      </c>
      <c r="E19">
        <f t="shared" si="0"/>
        <v>12</v>
      </c>
      <c r="F19" s="4" t="str">
        <f>IF(SUM($E$6:E19)=N19,"ok","nok")</f>
        <v>ok</v>
      </c>
      <c r="G19" t="b">
        <f t="shared" si="1"/>
        <v>1</v>
      </c>
      <c r="H19" t="b">
        <f t="shared" si="2"/>
        <v>0</v>
      </c>
      <c r="I19" t="str">
        <f t="shared" si="3"/>
        <v>FALSO</v>
      </c>
      <c r="K19" s="9" t="s">
        <v>31</v>
      </c>
      <c r="L19" s="11"/>
      <c r="M19" s="10">
        <v>59</v>
      </c>
      <c r="N19" s="10">
        <v>70</v>
      </c>
      <c r="O19" s="10">
        <v>12</v>
      </c>
      <c r="P19" s="9" t="s">
        <v>15</v>
      </c>
    </row>
    <row r="20" spans="1:16" ht="15" customHeight="1">
      <c r="A20" s="9" t="s">
        <v>32</v>
      </c>
      <c r="B20" t="s">
        <v>2</v>
      </c>
      <c r="C20" t="str">
        <f t="shared" si="4"/>
        <v>9</v>
      </c>
      <c r="D20" t="str">
        <f t="array" ref="D20">_xlfn.IFS(I20="","",I20="VERDADEIRO","Num",I20&lt;&gt;"VERDADEIRO","Alfa")</f>
        <v>Alfa</v>
      </c>
      <c r="E20">
        <f t="shared" si="0"/>
        <v>1</v>
      </c>
      <c r="F20" s="4" t="str">
        <f>IF(SUM($E$6:E20)=N20,"ok","nok")</f>
        <v>ok</v>
      </c>
      <c r="G20" t="b">
        <f t="shared" si="1"/>
        <v>1</v>
      </c>
      <c r="H20" t="b">
        <f t="shared" si="2"/>
        <v>0</v>
      </c>
      <c r="I20" t="str">
        <f t="shared" si="3"/>
        <v>FALSO</v>
      </c>
      <c r="K20" s="9" t="s">
        <v>32</v>
      </c>
      <c r="L20" s="11"/>
      <c r="M20" s="10">
        <v>71</v>
      </c>
      <c r="N20" s="10">
        <v>71</v>
      </c>
      <c r="O20" s="10">
        <v>1</v>
      </c>
      <c r="P20" s="9" t="s">
        <v>22</v>
      </c>
    </row>
    <row r="21" spans="1:16" ht="15" customHeight="1">
      <c r="A21" s="9" t="s">
        <v>20</v>
      </c>
      <c r="B21" s="1" t="s">
        <v>3</v>
      </c>
      <c r="C21" t="str">
        <f t="shared" si="4"/>
        <v xml:space="preserve"> </v>
      </c>
      <c r="D21" t="str">
        <f t="array" ref="D21">_xlfn.IFS(I21="","",I21="VERDADEIRO","Num",I21&lt;&gt;"VERDADEIRO","Alfa")</f>
        <v>Alfa</v>
      </c>
      <c r="E21">
        <f t="shared" si="0"/>
        <v>1</v>
      </c>
      <c r="F21" s="4" t="str">
        <f>IF(SUM($E$6:E21)=N21,"ok","nok")</f>
        <v>ok</v>
      </c>
      <c r="G21" t="b">
        <f t="shared" si="1"/>
        <v>1</v>
      </c>
      <c r="H21" t="b">
        <f t="shared" si="2"/>
        <v>0</v>
      </c>
      <c r="I21" t="str">
        <f t="shared" si="3"/>
        <v>FALSO</v>
      </c>
      <c r="K21" s="9" t="s">
        <v>20</v>
      </c>
      <c r="L21" s="9" t="s">
        <v>33</v>
      </c>
      <c r="M21" s="10">
        <v>72</v>
      </c>
      <c r="N21" s="10">
        <v>72</v>
      </c>
      <c r="O21" s="10">
        <v>1</v>
      </c>
      <c r="P21" s="9" t="s">
        <v>22</v>
      </c>
    </row>
    <row r="22" spans="1:16" ht="15" customHeight="1">
      <c r="A22" s="9" t="s">
        <v>34</v>
      </c>
      <c r="B22" s="1" t="s">
        <v>1036</v>
      </c>
      <c r="C22" t="str">
        <f t="shared" si="4"/>
        <v xml:space="preserve">FICTICIA LIMITADA             </v>
      </c>
      <c r="D22" t="str">
        <f t="array" ref="D22">_xlfn.IFS(I22="","",I22="VERDADEIRO","Num",I22&lt;&gt;"VERDADEIRO","Alfa")</f>
        <v>Alfa</v>
      </c>
      <c r="E22">
        <f t="shared" si="0"/>
        <v>30</v>
      </c>
      <c r="F22" s="4" t="str">
        <f>IF(SUM($E$6:E22)=N22,"ok","nok")</f>
        <v>ok</v>
      </c>
      <c r="G22" t="b">
        <f t="shared" si="1"/>
        <v>1</v>
      </c>
      <c r="H22" t="b">
        <f t="shared" si="2"/>
        <v>0</v>
      </c>
      <c r="I22" t="str">
        <f t="shared" si="3"/>
        <v>FALSO</v>
      </c>
      <c r="K22" s="9" t="s">
        <v>34</v>
      </c>
      <c r="L22" s="11"/>
      <c r="M22" s="10">
        <v>73</v>
      </c>
      <c r="N22" s="10">
        <v>102</v>
      </c>
      <c r="O22" s="10">
        <v>30</v>
      </c>
      <c r="P22" s="9" t="s">
        <v>22</v>
      </c>
    </row>
    <row r="23" spans="1:16" ht="15" customHeight="1">
      <c r="A23" s="9" t="s">
        <v>58</v>
      </c>
      <c r="B23" s="1" t="s">
        <v>1001</v>
      </c>
      <c r="C23" t="str">
        <f>LEFT(B23,40)</f>
        <v xml:space="preserve">                                        </v>
      </c>
      <c r="D23" t="str">
        <f t="array" ref="D23">_xlfn.IFS(I23="","",I23="VERDADEIRO","Num",I23&lt;&gt;"VERDADEIRO","Alfa")</f>
        <v>Alfa</v>
      </c>
      <c r="E23">
        <f t="shared" si="0"/>
        <v>40</v>
      </c>
      <c r="F23" s="4" t="str">
        <f>IF(SUM($E$6:E23)=N23,"ok","nok")</f>
        <v>ok</v>
      </c>
      <c r="G23" t="b">
        <f t="shared" si="1"/>
        <v>1</v>
      </c>
      <c r="H23" t="b">
        <f t="shared" si="2"/>
        <v>0</v>
      </c>
      <c r="I23" t="str">
        <f t="shared" si="3"/>
        <v>FALSO</v>
      </c>
      <c r="K23" s="9" t="s">
        <v>58</v>
      </c>
      <c r="L23" s="35" t="s">
        <v>153</v>
      </c>
      <c r="M23" s="10">
        <v>103</v>
      </c>
      <c r="N23" s="10">
        <v>142</v>
      </c>
      <c r="O23" s="10">
        <v>40</v>
      </c>
      <c r="P23" s="9" t="s">
        <v>22</v>
      </c>
    </row>
    <row r="24" spans="1:16" ht="15" customHeight="1">
      <c r="A24" s="9" t="s">
        <v>59</v>
      </c>
      <c r="B24" s="1" t="s">
        <v>1035</v>
      </c>
      <c r="C24" t="str">
        <f>B24</f>
        <v xml:space="preserve">Rua Portico Guilhermina       </v>
      </c>
      <c r="D24" t="str">
        <f t="array" ref="D24">_xlfn.IFS(I24="","",I24="VERDADEIRO","Num",I24&lt;&gt;"VERDADEIRO","Alfa")</f>
        <v>Alfa</v>
      </c>
      <c r="E24">
        <f t="shared" si="0"/>
        <v>30</v>
      </c>
      <c r="F24" s="4" t="str">
        <f>IF(SUM($E$6:E24)=N24,"ok","nok")</f>
        <v>ok</v>
      </c>
      <c r="G24" t="b">
        <f t="shared" si="1"/>
        <v>1</v>
      </c>
      <c r="H24" t="b">
        <f t="shared" si="2"/>
        <v>0</v>
      </c>
      <c r="I24" t="str">
        <f t="shared" si="3"/>
        <v>FALSO</v>
      </c>
      <c r="K24" s="9" t="s">
        <v>59</v>
      </c>
      <c r="L24" s="11"/>
      <c r="M24" s="10">
        <v>143</v>
      </c>
      <c r="N24" s="10">
        <v>172</v>
      </c>
      <c r="O24" s="10">
        <v>30</v>
      </c>
      <c r="P24" s="9" t="s">
        <v>22</v>
      </c>
    </row>
    <row r="25" spans="1:16" ht="15" customHeight="1">
      <c r="A25" s="9" t="s">
        <v>60</v>
      </c>
      <c r="B25">
        <v>2310</v>
      </c>
      <c r="C25" t="str">
        <f>TEXT(B25,"0000#")</f>
        <v>02310</v>
      </c>
      <c r="D25" t="str">
        <f t="array" ref="D25">_xlfn.IFS(I25="","",I25="VERDADEIRO","Num",I25&lt;&gt;"VERDADEIRO","Alfa")</f>
        <v>Num</v>
      </c>
      <c r="E25">
        <f t="shared" si="0"/>
        <v>5</v>
      </c>
      <c r="F25" s="4" t="str">
        <f>IF(SUM($E$6:E25)=N25,"ok","nok")</f>
        <v>ok</v>
      </c>
      <c r="G25" t="b">
        <f t="shared" si="1"/>
        <v>1</v>
      </c>
      <c r="H25" t="b">
        <f t="shared" si="2"/>
        <v>1</v>
      </c>
      <c r="I25" t="str">
        <f t="shared" si="3"/>
        <v>VERDADEIRO</v>
      </c>
      <c r="K25" s="9" t="s">
        <v>60</v>
      </c>
      <c r="L25" s="11"/>
      <c r="M25" s="10">
        <v>173</v>
      </c>
      <c r="N25" s="10">
        <v>177</v>
      </c>
      <c r="O25" s="10">
        <v>5</v>
      </c>
      <c r="P25" s="9" t="s">
        <v>15</v>
      </c>
    </row>
    <row r="26" spans="1:16" ht="15" customHeight="1">
      <c r="A26" s="9" t="s">
        <v>61</v>
      </c>
      <c r="B26" s="1" t="s">
        <v>171</v>
      </c>
      <c r="C26" t="str">
        <f t="shared" ref="C26:C32" si="5">B26</f>
        <v xml:space="preserve">               </v>
      </c>
      <c r="D26" t="str">
        <f t="array" ref="D26">_xlfn.IFS(I26="","",I26="VERDADEIRO","Num",I26&lt;&gt;"VERDADEIRO","Alfa")</f>
        <v>Alfa</v>
      </c>
      <c r="E26">
        <f t="shared" si="0"/>
        <v>15</v>
      </c>
      <c r="F26" s="4" t="str">
        <f>IF(SUM($E$6:E26)=N26,"ok","nok")</f>
        <v>ok</v>
      </c>
      <c r="G26" t="b">
        <f t="shared" si="1"/>
        <v>1</v>
      </c>
      <c r="H26" t="b">
        <f t="shared" si="2"/>
        <v>0</v>
      </c>
      <c r="I26" t="str">
        <f t="shared" si="3"/>
        <v>FALSO</v>
      </c>
      <c r="K26" s="9" t="s">
        <v>61</v>
      </c>
      <c r="L26" s="11"/>
      <c r="M26" s="10">
        <v>178</v>
      </c>
      <c r="N26" s="10">
        <v>192</v>
      </c>
      <c r="O26" s="10">
        <v>15</v>
      </c>
      <c r="P26" s="9" t="s">
        <v>22</v>
      </c>
    </row>
    <row r="27" spans="1:16" ht="15" customHeight="1">
      <c r="A27" s="9" t="s">
        <v>62</v>
      </c>
      <c r="B27" s="1" t="s">
        <v>172</v>
      </c>
      <c r="C27" t="str">
        <f t="shared" si="5"/>
        <v xml:space="preserve">Ribeirao Preto      </v>
      </c>
      <c r="D27" t="str">
        <f t="array" ref="D27">_xlfn.IFS(I27="","",I27="VERDADEIRO","Num",I27&lt;&gt;"VERDADEIRO","Alfa")</f>
        <v>Alfa</v>
      </c>
      <c r="E27">
        <f t="shared" si="0"/>
        <v>20</v>
      </c>
      <c r="F27" s="4" t="str">
        <f>IF(SUM($E$6:E27)=N27,"ok","nok")</f>
        <v>ok</v>
      </c>
      <c r="G27" t="b">
        <f t="shared" si="1"/>
        <v>1</v>
      </c>
      <c r="H27" t="b">
        <f t="shared" si="2"/>
        <v>0</v>
      </c>
      <c r="I27" t="str">
        <f t="shared" si="3"/>
        <v>FALSO</v>
      </c>
      <c r="K27" s="9" t="s">
        <v>62</v>
      </c>
      <c r="L27" s="11"/>
      <c r="M27" s="10">
        <v>193</v>
      </c>
      <c r="N27" s="10">
        <v>212</v>
      </c>
      <c r="O27" s="10">
        <v>20</v>
      </c>
      <c r="P27" s="9" t="s">
        <v>22</v>
      </c>
    </row>
    <row r="28" spans="1:16" ht="15" customHeight="1">
      <c r="A28" s="9" t="s">
        <v>63</v>
      </c>
      <c r="B28">
        <v>10010</v>
      </c>
      <c r="C28">
        <f t="shared" si="5"/>
        <v>10010</v>
      </c>
      <c r="D28" t="str">
        <f t="array" ref="D28">_xlfn.IFS(I28="","",I28="VERDADEIRO","Num",I28&lt;&gt;"VERDADEIRO","Alfa")</f>
        <v>Num</v>
      </c>
      <c r="E28">
        <f t="shared" si="0"/>
        <v>5</v>
      </c>
      <c r="F28" s="4" t="str">
        <f>IF(SUM($E$6:E28)=N28,"ok","nok")</f>
        <v>ok</v>
      </c>
      <c r="G28" t="b">
        <f t="shared" si="1"/>
        <v>1</v>
      </c>
      <c r="H28" t="b">
        <f t="shared" si="2"/>
        <v>1</v>
      </c>
      <c r="I28" t="str">
        <f t="shared" si="3"/>
        <v>VERDADEIRO</v>
      </c>
      <c r="K28" s="9" t="s">
        <v>63</v>
      </c>
      <c r="L28" s="11"/>
      <c r="M28" s="10">
        <v>213</v>
      </c>
      <c r="N28" s="10">
        <v>217</v>
      </c>
      <c r="O28" s="10">
        <v>5</v>
      </c>
      <c r="P28" s="9" t="s">
        <v>15</v>
      </c>
    </row>
    <row r="29" spans="1:16" ht="15" customHeight="1">
      <c r="A29" s="9" t="s">
        <v>64</v>
      </c>
      <c r="B29">
        <v>510</v>
      </c>
      <c r="C29">
        <f t="shared" si="5"/>
        <v>510</v>
      </c>
      <c r="D29" t="str">
        <f t="array" ref="D29">_xlfn.IFS(I29="","",I29="VERDADEIRO","Num",I29&lt;&gt;"VERDADEIRO","Alfa")</f>
        <v>Num</v>
      </c>
      <c r="E29">
        <f t="shared" si="0"/>
        <v>3</v>
      </c>
      <c r="F29" s="4" t="str">
        <f>IF(SUM($E$6:E29)=N29,"ok","nok")</f>
        <v>ok</v>
      </c>
      <c r="G29" t="b">
        <f t="shared" si="1"/>
        <v>1</v>
      </c>
      <c r="H29" t="b">
        <f t="shared" si="2"/>
        <v>1</v>
      </c>
      <c r="I29" t="str">
        <f t="shared" si="3"/>
        <v>VERDADEIRO</v>
      </c>
      <c r="K29" s="9" t="s">
        <v>64</v>
      </c>
      <c r="L29" s="11"/>
      <c r="M29" s="10">
        <v>218</v>
      </c>
      <c r="N29" s="10">
        <v>220</v>
      </c>
      <c r="O29" s="10">
        <v>3</v>
      </c>
      <c r="P29" s="9" t="s">
        <v>22</v>
      </c>
    </row>
    <row r="30" spans="1:16" ht="15" customHeight="1">
      <c r="A30" s="9" t="s">
        <v>65</v>
      </c>
      <c r="B30" t="s">
        <v>173</v>
      </c>
      <c r="C30" t="str">
        <f t="shared" si="5"/>
        <v>SP</v>
      </c>
      <c r="D30" t="str">
        <f t="array" ref="D30">_xlfn.IFS(I30="","",I30="VERDADEIRO","Num",I30&lt;&gt;"VERDADEIRO","Alfa")</f>
        <v>Alfa</v>
      </c>
      <c r="E30">
        <f t="shared" si="0"/>
        <v>2</v>
      </c>
      <c r="F30" s="4" t="str">
        <f>IF(SUM($E$6:E30)=N30,"ok","nok")</f>
        <v>ok</v>
      </c>
      <c r="G30" t="b">
        <f t="shared" si="1"/>
        <v>1</v>
      </c>
      <c r="H30" t="b">
        <f t="shared" si="2"/>
        <v>0</v>
      </c>
      <c r="I30" t="str">
        <f t="shared" si="3"/>
        <v>FALSO</v>
      </c>
      <c r="K30" s="9" t="s">
        <v>65</v>
      </c>
      <c r="L30" s="11"/>
      <c r="M30" s="10">
        <v>221</v>
      </c>
      <c r="N30" s="10">
        <v>222</v>
      </c>
      <c r="O30" s="10">
        <v>2</v>
      </c>
      <c r="P30" s="9" t="s">
        <v>22</v>
      </c>
    </row>
    <row r="31" spans="1:16" ht="15" customHeight="1">
      <c r="A31" s="9" t="s">
        <v>20</v>
      </c>
      <c r="B31" s="1" t="s">
        <v>168</v>
      </c>
      <c r="C31" t="str">
        <f t="shared" si="5"/>
        <v xml:space="preserve">        </v>
      </c>
      <c r="D31" t="str">
        <f t="array" ref="D31">_xlfn.IFS(I31="","",I31="VERDADEIRO","Num",I31&lt;&gt;"VERDADEIRO","Alfa")</f>
        <v>Alfa</v>
      </c>
      <c r="E31">
        <f t="shared" si="0"/>
        <v>8</v>
      </c>
      <c r="F31" s="4" t="str">
        <f>IF(SUM($E$6:E31)=N31,"ok","nok")</f>
        <v>ok</v>
      </c>
      <c r="G31" t="b">
        <f t="shared" si="1"/>
        <v>1</v>
      </c>
      <c r="H31" t="b">
        <f t="shared" si="2"/>
        <v>0</v>
      </c>
      <c r="I31" t="str">
        <f>TRIM(H31)</f>
        <v>FALSO</v>
      </c>
      <c r="K31" s="9" t="s">
        <v>20</v>
      </c>
      <c r="L31" s="9" t="s">
        <v>21</v>
      </c>
      <c r="M31" s="10">
        <v>223</v>
      </c>
      <c r="N31" s="10">
        <v>230</v>
      </c>
      <c r="O31" s="10">
        <v>8</v>
      </c>
      <c r="P31" s="9" t="s">
        <v>22</v>
      </c>
    </row>
    <row r="32" spans="1:16" ht="25.5">
      <c r="A32" s="16" t="s">
        <v>66</v>
      </c>
      <c r="B32" s="1" t="s">
        <v>4</v>
      </c>
      <c r="C32" t="str">
        <f t="shared" si="5"/>
        <v xml:space="preserve">          </v>
      </c>
      <c r="D32" t="str">
        <f t="array" ref="D32">_xlfn.IFS(I32="","",I32="VERDADEIRO","Num",I32&lt;&gt;"VERDADEIRO","Alfa")</f>
        <v>Alfa</v>
      </c>
      <c r="E32">
        <f t="shared" si="0"/>
        <v>10</v>
      </c>
      <c r="F32" s="4" t="str">
        <f>IF(SUM($E$6:E32)=N32,"ok","nok")</f>
        <v>ok</v>
      </c>
      <c r="G32" t="b">
        <f t="shared" si="1"/>
        <v>1</v>
      </c>
      <c r="H32" t="b">
        <f t="shared" si="2"/>
        <v>0</v>
      </c>
      <c r="I32" t="str">
        <f>TRIM(H32)</f>
        <v>FALSO</v>
      </c>
      <c r="K32" s="16" t="s">
        <v>66</v>
      </c>
      <c r="L32" s="9" t="s">
        <v>21</v>
      </c>
      <c r="M32" s="10">
        <v>231</v>
      </c>
      <c r="N32" s="10">
        <v>240</v>
      </c>
      <c r="O32" s="10">
        <v>10</v>
      </c>
      <c r="P32" s="9" t="s">
        <v>22</v>
      </c>
    </row>
  </sheetData>
  <mergeCells count="6">
    <mergeCell ref="K4:K5"/>
    <mergeCell ref="L4:L5"/>
    <mergeCell ref="O4:O5"/>
    <mergeCell ref="P4:P5"/>
    <mergeCell ref="E4:E5"/>
    <mergeCell ref="F4:F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05AB3-54C6-4D80-BBA6-9CE6F326648C}">
  <sheetPr codeName="Planilha6"/>
  <dimension ref="A1:P36"/>
  <sheetViews>
    <sheetView zoomScaleNormal="100" workbookViewId="0">
      <selection activeCell="B100" sqref="B100"/>
    </sheetView>
  </sheetViews>
  <sheetFormatPr defaultRowHeight="15"/>
  <cols>
    <col min="1" max="1" width="38.42578125" customWidth="1"/>
    <col min="2" max="3" width="40.7109375" bestFit="1" customWidth="1"/>
    <col min="4" max="4" width="31.42578125" bestFit="1" customWidth="1"/>
    <col min="5" max="5" width="7.7109375" bestFit="1" customWidth="1"/>
    <col min="6" max="6" width="13.85546875" bestFit="1" customWidth="1"/>
    <col min="7" max="7" width="6.5703125" bestFit="1" customWidth="1"/>
    <col min="8" max="8" width="16.7109375" bestFit="1" customWidth="1"/>
    <col min="9" max="9" width="12.42578125" bestFit="1" customWidth="1"/>
    <col min="12" max="12" width="45.7109375" bestFit="1" customWidth="1"/>
    <col min="15" max="15" width="11.85546875" customWidth="1"/>
  </cols>
  <sheetData>
    <row r="1" spans="1:16" ht="15" customHeight="1">
      <c r="A1" s="5" t="s">
        <v>182</v>
      </c>
      <c r="B1" s="5">
        <f ca="1">LEN(A2)</f>
        <v>240</v>
      </c>
      <c r="C1" s="46"/>
    </row>
    <row r="2" spans="1:16">
      <c r="A2" s="46" t="str">
        <f ca="1">_xlfn.CONCAT(D6:D36)</f>
        <v xml:space="preserve">0770034300001A00000000100001100000001564611Nome de exemplo Recebedor                         30012025BRL000000000000001000000000012400                    30012025000000000150000                CCCCCCCCCCCCCCIIIIIIIIRR01          0          </v>
      </c>
    </row>
    <row r="3" spans="1:16" ht="15" customHeight="1"/>
    <row r="4" spans="1:16" ht="15" customHeight="1">
      <c r="A4" s="41" t="s">
        <v>6</v>
      </c>
      <c r="B4" s="18" t="s">
        <v>68</v>
      </c>
      <c r="C4" s="41" t="s">
        <v>7</v>
      </c>
      <c r="E4" s="14" t="s">
        <v>10</v>
      </c>
      <c r="F4" s="81" t="s">
        <v>9</v>
      </c>
      <c r="G4" s="85" t="s">
        <v>160</v>
      </c>
      <c r="H4" s="39" t="s">
        <v>167</v>
      </c>
      <c r="L4" s="18" t="s">
        <v>67</v>
      </c>
      <c r="M4" s="87" t="s">
        <v>69</v>
      </c>
      <c r="N4" s="88"/>
      <c r="O4" s="89" t="s">
        <v>70</v>
      </c>
      <c r="P4" s="18" t="s">
        <v>71</v>
      </c>
    </row>
    <row r="5" spans="1:16" ht="15" customHeight="1">
      <c r="A5" s="42"/>
      <c r="B5" s="19"/>
      <c r="C5" s="42"/>
      <c r="E5" s="15"/>
      <c r="F5" s="82"/>
      <c r="G5" s="86"/>
      <c r="H5" s="40"/>
      <c r="L5" s="19"/>
      <c r="M5" s="20" t="s">
        <v>72</v>
      </c>
      <c r="N5" s="20" t="s">
        <v>73</v>
      </c>
      <c r="O5" s="90"/>
      <c r="P5" s="19"/>
    </row>
    <row r="6" spans="1:16" ht="15" customHeight="1">
      <c r="A6" s="21" t="s">
        <v>74</v>
      </c>
      <c r="B6" s="21" t="s">
        <v>75</v>
      </c>
      <c r="C6" s="1" t="s">
        <v>156</v>
      </c>
      <c r="D6" t="str">
        <f>TEXT(C6,"000")</f>
        <v>077</v>
      </c>
      <c r="E6" t="str">
        <f>_xlfn.IFS(J6="","",J6="VERDADEIRO","Num",J6&lt;&gt;"VERDADEIRO","Alfa")</f>
        <v>Alfa</v>
      </c>
      <c r="F6">
        <f t="shared" ref="F6:F36" si="0">IF(LEN(D6)=0,"",LEN(D6))</f>
        <v>3</v>
      </c>
      <c r="G6" s="4" t="str">
        <f>IF(F6=N6,"ok",nok)</f>
        <v>ok</v>
      </c>
      <c r="H6" t="b">
        <f t="shared" ref="H6:H36" si="1">IF(F6="","",F6=O6)</f>
        <v>1</v>
      </c>
      <c r="I6" t="b">
        <f t="shared" ref="I6:I36" si="2">IF(C6="","",(ISNUMBER(C6)))</f>
        <v>0</v>
      </c>
      <c r="J6" t="str">
        <f>TRIM(I6)</f>
        <v>FALSO</v>
      </c>
      <c r="L6" s="21" t="s">
        <v>74</v>
      </c>
      <c r="M6" s="22">
        <v>1</v>
      </c>
      <c r="N6" s="22">
        <v>3</v>
      </c>
      <c r="O6" s="22">
        <v>3</v>
      </c>
      <c r="P6" s="21" t="s">
        <v>76</v>
      </c>
    </row>
    <row r="7" spans="1:16" ht="15" customHeight="1">
      <c r="A7" s="21" t="s">
        <v>77</v>
      </c>
      <c r="B7" s="21" t="s">
        <v>78</v>
      </c>
      <c r="C7">
        <f>Registros!D1</f>
        <v>34</v>
      </c>
      <c r="D7" t="str">
        <f>TEXT(C7,"0000")</f>
        <v>0034</v>
      </c>
      <c r="E7" t="str">
        <f t="array" ref="E7">_xlfn.IFS(J7="","",J7="VERDADEIRO","Num",J7&lt;&gt;"VERDADEIRO","Alfa")</f>
        <v>Num</v>
      </c>
      <c r="F7">
        <f t="shared" si="0"/>
        <v>4</v>
      </c>
      <c r="G7" s="4" t="str">
        <f>IF(SUM($F$6:F7)=N7,"ok","nok")</f>
        <v>ok</v>
      </c>
      <c r="H7" t="b">
        <f t="shared" si="1"/>
        <v>1</v>
      </c>
      <c r="I7" t="b">
        <f t="shared" si="2"/>
        <v>1</v>
      </c>
      <c r="J7" t="str">
        <f t="shared" ref="J7:J32" si="3">TRIM(I7)</f>
        <v>VERDADEIRO</v>
      </c>
      <c r="L7" s="21" t="s">
        <v>77</v>
      </c>
      <c r="M7" s="22">
        <v>4</v>
      </c>
      <c r="N7" s="22">
        <v>7</v>
      </c>
      <c r="O7" s="22">
        <v>4</v>
      </c>
      <c r="P7" s="21" t="s">
        <v>76</v>
      </c>
    </row>
    <row r="8" spans="1:16" ht="15" customHeight="1">
      <c r="A8" s="21" t="s">
        <v>79</v>
      </c>
      <c r="B8" s="21" t="s">
        <v>80</v>
      </c>
      <c r="C8" s="1">
        <v>3</v>
      </c>
      <c r="D8">
        <f>C8</f>
        <v>3</v>
      </c>
      <c r="E8" t="str">
        <f t="array" ref="E8">_xlfn.IFS(J8="","",J8="VERDADEIRO","Num",J8&lt;&gt;"VERDADEIRO","Alfa")</f>
        <v>Num</v>
      </c>
      <c r="F8">
        <f t="shared" si="0"/>
        <v>1</v>
      </c>
      <c r="G8" s="4" t="str">
        <f>IF(SUM($F$6:F8)=N8,"ok","nok")</f>
        <v>ok</v>
      </c>
      <c r="H8" t="b">
        <f t="shared" si="1"/>
        <v>1</v>
      </c>
      <c r="I8" t="b">
        <f t="shared" si="2"/>
        <v>1</v>
      </c>
      <c r="J8" t="str">
        <f t="shared" si="3"/>
        <v>VERDADEIRO</v>
      </c>
      <c r="L8" s="43" t="s">
        <v>174</v>
      </c>
      <c r="M8" s="22">
        <v>8</v>
      </c>
      <c r="N8" s="22">
        <v>8</v>
      </c>
      <c r="O8" s="22">
        <v>1</v>
      </c>
      <c r="P8" s="21" t="s">
        <v>76</v>
      </c>
    </row>
    <row r="9" spans="1:16" ht="15" customHeight="1">
      <c r="A9" s="21" t="s">
        <v>81</v>
      </c>
      <c r="B9" s="21" t="s">
        <v>82</v>
      </c>
      <c r="C9" s="1">
        <v>1</v>
      </c>
      <c r="D9" t="str">
        <f>TEXT(C9,"00000")</f>
        <v>00001</v>
      </c>
      <c r="E9" t="str">
        <f t="array" ref="E9">_xlfn.IFS(J9="","",J9="VERDADEIRO","Num",J9&lt;&gt;"VERDADEIRO","Alfa")</f>
        <v>Num</v>
      </c>
      <c r="F9">
        <f t="shared" si="0"/>
        <v>5</v>
      </c>
      <c r="G9" s="4" t="str">
        <f>IF(SUM($F$6:F9)=N9,"ok","nok")</f>
        <v>ok</v>
      </c>
      <c r="H9" t="b">
        <f t="shared" si="1"/>
        <v>1</v>
      </c>
      <c r="I9" t="b">
        <f t="shared" si="2"/>
        <v>1</v>
      </c>
      <c r="J9" t="str">
        <f t="shared" si="3"/>
        <v>VERDADEIRO</v>
      </c>
      <c r="L9" s="43" t="s">
        <v>175</v>
      </c>
      <c r="M9" s="22">
        <v>9</v>
      </c>
      <c r="N9" s="22">
        <v>13</v>
      </c>
      <c r="O9" s="22">
        <v>5</v>
      </c>
      <c r="P9" s="21" t="s">
        <v>76</v>
      </c>
    </row>
    <row r="10" spans="1:16" ht="15" customHeight="1">
      <c r="A10" s="21" t="s">
        <v>83</v>
      </c>
      <c r="B10" s="21" t="s">
        <v>84</v>
      </c>
      <c r="C10" t="s">
        <v>176</v>
      </c>
      <c r="D10" t="str">
        <f>C10</f>
        <v>A</v>
      </c>
      <c r="E10" t="str">
        <f t="array" ref="E10">_xlfn.IFS(J10="","",J10="VERDADEIRO","Num",J10&lt;&gt;"VERDADEIRO","Alfa")</f>
        <v>Alfa</v>
      </c>
      <c r="F10">
        <f t="shared" si="0"/>
        <v>1</v>
      </c>
      <c r="G10" s="4" t="str">
        <f>IF(SUM($F$6:F10)=N10,"ok","nok")</f>
        <v>ok</v>
      </c>
      <c r="H10" t="b">
        <f t="shared" si="1"/>
        <v>1</v>
      </c>
      <c r="I10" t="b">
        <f t="shared" si="2"/>
        <v>0</v>
      </c>
      <c r="J10" t="str">
        <f t="shared" si="3"/>
        <v>FALSO</v>
      </c>
      <c r="L10" s="21" t="s">
        <v>83</v>
      </c>
      <c r="M10" s="22">
        <v>14</v>
      </c>
      <c r="N10" s="22">
        <v>14</v>
      </c>
      <c r="O10" s="22">
        <v>1</v>
      </c>
      <c r="P10" s="21" t="s">
        <v>85</v>
      </c>
    </row>
    <row r="11" spans="1:16" ht="15" customHeight="1">
      <c r="A11" s="21" t="s">
        <v>86</v>
      </c>
      <c r="B11" s="21" t="s">
        <v>87</v>
      </c>
      <c r="C11">
        <v>0</v>
      </c>
      <c r="D11">
        <f>C11</f>
        <v>0</v>
      </c>
      <c r="E11" t="str">
        <f t="array" ref="E11">_xlfn.IFS(J11="","",J11="VERDADEIRO","Num",J11&lt;&gt;"VERDADEIRO","Alfa")</f>
        <v>Num</v>
      </c>
      <c r="F11">
        <f t="shared" si="0"/>
        <v>1</v>
      </c>
      <c r="G11" s="4" t="str">
        <f>IF(SUM($F$6:F11)=N11,"ok","nok")</f>
        <v>ok</v>
      </c>
      <c r="H11" t="b">
        <f t="shared" si="1"/>
        <v>1</v>
      </c>
      <c r="I11" t="b">
        <f t="shared" si="2"/>
        <v>1</v>
      </c>
      <c r="J11" t="str">
        <f t="shared" si="3"/>
        <v>VERDADEIRO</v>
      </c>
      <c r="L11" s="21" t="s">
        <v>86</v>
      </c>
      <c r="M11" s="22">
        <v>15</v>
      </c>
      <c r="N11" s="22">
        <v>15</v>
      </c>
      <c r="O11" s="22">
        <v>1</v>
      </c>
      <c r="P11" s="21" t="s">
        <v>76</v>
      </c>
    </row>
    <row r="12" spans="1:16" ht="15" customHeight="1">
      <c r="A12" s="21" t="s">
        <v>88</v>
      </c>
      <c r="B12" s="21" t="s">
        <v>89</v>
      </c>
      <c r="C12" s="1">
        <v>0</v>
      </c>
      <c r="D12" t="str">
        <f>TEXT(C12,"00")</f>
        <v>00</v>
      </c>
      <c r="E12" t="str">
        <f t="array" ref="E12">_xlfn.IFS(J12="","",J12="VERDADEIRO","Num",J12&lt;&gt;"VERDADEIRO","Alfa")</f>
        <v>Num</v>
      </c>
      <c r="F12">
        <f t="shared" si="0"/>
        <v>2</v>
      </c>
      <c r="G12" s="4" t="str">
        <f>IF(SUM($F$6:F12)=N12,"ok","nok")</f>
        <v>ok</v>
      </c>
      <c r="H12" t="b">
        <f t="shared" si="1"/>
        <v>1</v>
      </c>
      <c r="I12" t="b">
        <f t="shared" si="2"/>
        <v>1</v>
      </c>
      <c r="J12" t="str">
        <f t="shared" si="3"/>
        <v>VERDADEIRO</v>
      </c>
      <c r="L12" s="21" t="s">
        <v>88</v>
      </c>
      <c r="M12" s="22">
        <v>16</v>
      </c>
      <c r="N12" s="22">
        <v>17</v>
      </c>
      <c r="O12" s="22">
        <v>2</v>
      </c>
      <c r="P12" s="21" t="s">
        <v>76</v>
      </c>
    </row>
    <row r="13" spans="1:16" ht="15" customHeight="1">
      <c r="A13" s="21" t="s">
        <v>90</v>
      </c>
      <c r="B13" s="21" t="s">
        <v>91</v>
      </c>
      <c r="C13" s="1">
        <v>0</v>
      </c>
      <c r="D13" t="str">
        <f>TEXT(C13,"000")</f>
        <v>000</v>
      </c>
      <c r="E13" t="str">
        <f t="array" ref="E13">_xlfn.IFS(J13="","",J13="VERDADEIRO","Num",J13&lt;&gt;"VERDADEIRO","Alfa")</f>
        <v>Num</v>
      </c>
      <c r="F13">
        <f t="shared" si="0"/>
        <v>3</v>
      </c>
      <c r="G13" s="4" t="str">
        <f>IF(SUM($F$6:F13)=N13,"ok","nok")</f>
        <v>ok</v>
      </c>
      <c r="H13" t="b">
        <f t="shared" si="1"/>
        <v>1</v>
      </c>
      <c r="I13" t="b">
        <f t="shared" si="2"/>
        <v>1</v>
      </c>
      <c r="J13" t="str">
        <f t="shared" si="3"/>
        <v>VERDADEIRO</v>
      </c>
      <c r="L13" s="21" t="s">
        <v>90</v>
      </c>
      <c r="M13" s="22">
        <v>18</v>
      </c>
      <c r="N13" s="22">
        <v>20</v>
      </c>
      <c r="O13" s="22">
        <v>3</v>
      </c>
      <c r="P13" s="21" t="s">
        <v>76</v>
      </c>
    </row>
    <row r="14" spans="1:16" ht="15" customHeight="1">
      <c r="A14" s="21" t="s">
        <v>92</v>
      </c>
      <c r="B14" s="17"/>
      <c r="C14">
        <v>1</v>
      </c>
      <c r="D14" t="str">
        <f>TEXT(C14,"000")</f>
        <v>001</v>
      </c>
      <c r="E14" t="str">
        <f t="array" ref="E14">_xlfn.IFS(J14="","",J14="VERDADEIRO","Num",J14&lt;&gt;"VERDADEIRO","Alfa")</f>
        <v>Num</v>
      </c>
      <c r="F14">
        <f t="shared" si="0"/>
        <v>3</v>
      </c>
      <c r="G14" s="4" t="str">
        <f>IF(SUM($F$6:F14)=N14,"ok","nok")</f>
        <v>ok</v>
      </c>
      <c r="H14" t="b">
        <f t="shared" si="1"/>
        <v>1</v>
      </c>
      <c r="I14" t="b">
        <f t="shared" si="2"/>
        <v>1</v>
      </c>
      <c r="J14" t="str">
        <f t="shared" si="3"/>
        <v>VERDADEIRO</v>
      </c>
      <c r="L14" s="21" t="s">
        <v>92</v>
      </c>
      <c r="M14" s="22">
        <v>21</v>
      </c>
      <c r="N14" s="22">
        <v>23</v>
      </c>
      <c r="O14" s="22">
        <v>3</v>
      </c>
      <c r="P14" s="21" t="s">
        <v>76</v>
      </c>
    </row>
    <row r="15" spans="1:16" ht="15" customHeight="1">
      <c r="A15" s="21" t="s">
        <v>93</v>
      </c>
      <c r="B15" s="11"/>
      <c r="C15">
        <v>1</v>
      </c>
      <c r="D15" t="str">
        <f>TEXT(C15,"00000")</f>
        <v>00001</v>
      </c>
      <c r="E15" t="str">
        <f t="array" ref="E15">_xlfn.IFS(J15="","",J15="VERDADEIRO","Num",J15&lt;&gt;"VERDADEIRO","Alfa")</f>
        <v>Num</v>
      </c>
      <c r="F15">
        <f t="shared" si="0"/>
        <v>5</v>
      </c>
      <c r="G15" s="4" t="str">
        <f>IF(SUM($F$6:F15)=N15,"ok","nok")</f>
        <v>ok</v>
      </c>
      <c r="H15" t="b">
        <f t="shared" si="1"/>
        <v>1</v>
      </c>
      <c r="I15" t="b">
        <f t="shared" si="2"/>
        <v>1</v>
      </c>
      <c r="J15" t="str">
        <f t="shared" si="3"/>
        <v>VERDADEIRO</v>
      </c>
      <c r="L15" s="21" t="s">
        <v>93</v>
      </c>
      <c r="M15" s="22">
        <v>24</v>
      </c>
      <c r="N15" s="22">
        <v>28</v>
      </c>
      <c r="O15" s="22">
        <v>5</v>
      </c>
      <c r="P15" s="21" t="s">
        <v>76</v>
      </c>
    </row>
    <row r="16" spans="1:16" ht="15" customHeight="1">
      <c r="A16" s="21" t="s">
        <v>94</v>
      </c>
      <c r="B16" s="17"/>
      <c r="C16">
        <v>1</v>
      </c>
      <c r="D16">
        <f>C16</f>
        <v>1</v>
      </c>
      <c r="E16" t="str">
        <f t="array" ref="E16">_xlfn.IFS(J16="","",J16="VERDADEIRO","Num",J16&lt;&gt;"VERDADEIRO","Alfa")</f>
        <v>Num</v>
      </c>
      <c r="F16">
        <f t="shared" si="0"/>
        <v>1</v>
      </c>
      <c r="G16" s="4" t="str">
        <f>IF(SUM($F$6:F16)=N16,"ok","nok")</f>
        <v>ok</v>
      </c>
      <c r="H16" t="b">
        <f t="shared" si="1"/>
        <v>1</v>
      </c>
      <c r="I16" t="b">
        <f t="shared" si="2"/>
        <v>1</v>
      </c>
      <c r="J16" t="str">
        <f t="shared" si="3"/>
        <v>VERDADEIRO</v>
      </c>
      <c r="L16" s="21" t="s">
        <v>94</v>
      </c>
      <c r="M16" s="22">
        <v>29</v>
      </c>
      <c r="N16" s="22">
        <v>29</v>
      </c>
      <c r="O16" s="22">
        <v>1</v>
      </c>
      <c r="P16" s="21" t="s">
        <v>85</v>
      </c>
    </row>
    <row r="17" spans="1:16" ht="15" customHeight="1">
      <c r="A17" s="21" t="s">
        <v>95</v>
      </c>
      <c r="B17" s="17"/>
      <c r="C17">
        <v>15646</v>
      </c>
      <c r="D17" t="str">
        <f>TEXT(C17,"000000000000")</f>
        <v>000000015646</v>
      </c>
      <c r="E17" t="str">
        <f t="array" ref="E17">_xlfn.IFS(J17="","",J17="VERDADEIRO","Num",J17&lt;&gt;"VERDADEIRO","Alfa")</f>
        <v>Num</v>
      </c>
      <c r="F17">
        <f t="shared" si="0"/>
        <v>12</v>
      </c>
      <c r="G17" s="4" t="str">
        <f>IF(SUM($F$6:F17)=N17,"ok","nok")</f>
        <v>ok</v>
      </c>
      <c r="H17" t="b">
        <f t="shared" si="1"/>
        <v>1</v>
      </c>
      <c r="I17" t="b">
        <f t="shared" si="2"/>
        <v>1</v>
      </c>
      <c r="J17" t="str">
        <f t="shared" si="3"/>
        <v>VERDADEIRO</v>
      </c>
      <c r="L17" s="21" t="s">
        <v>95</v>
      </c>
      <c r="M17" s="22">
        <v>30</v>
      </c>
      <c r="N17" s="22">
        <v>41</v>
      </c>
      <c r="O17" s="22">
        <v>12</v>
      </c>
      <c r="P17" s="21" t="s">
        <v>76</v>
      </c>
    </row>
    <row r="18" spans="1:16" ht="15" customHeight="1">
      <c r="A18" s="21" t="s">
        <v>96</v>
      </c>
      <c r="B18" s="17"/>
      <c r="C18" s="1" t="s">
        <v>185</v>
      </c>
      <c r="D18" t="str">
        <f>C18</f>
        <v>1</v>
      </c>
      <c r="E18" t="str">
        <f t="array" ref="E18">_xlfn.IFS(J18="","",J18="VERDADEIRO","Num",J18&lt;&gt;"VERDADEIRO","Alfa")</f>
        <v>Alfa</v>
      </c>
      <c r="F18">
        <f t="shared" si="0"/>
        <v>1</v>
      </c>
      <c r="G18" s="4" t="str">
        <f>IF(SUM($F$6:F18)=N18,"ok","nok")</f>
        <v>ok</v>
      </c>
      <c r="H18" t="b">
        <f t="shared" si="1"/>
        <v>1</v>
      </c>
      <c r="I18" t="b">
        <f t="shared" si="2"/>
        <v>0</v>
      </c>
      <c r="J18" t="str">
        <f t="shared" si="3"/>
        <v>FALSO</v>
      </c>
      <c r="L18" s="21" t="s">
        <v>96</v>
      </c>
      <c r="M18" s="22">
        <v>42</v>
      </c>
      <c r="N18" s="22">
        <v>42</v>
      </c>
      <c r="O18" s="22">
        <v>1</v>
      </c>
      <c r="P18" s="21" t="s">
        <v>85</v>
      </c>
    </row>
    <row r="19" spans="1:16" ht="15" customHeight="1">
      <c r="A19" s="21" t="s">
        <v>97</v>
      </c>
      <c r="B19" s="17"/>
      <c r="C19">
        <v>1</v>
      </c>
      <c r="D19">
        <f>C19</f>
        <v>1</v>
      </c>
      <c r="E19" t="str">
        <f t="array" ref="E19">_xlfn.IFS(J19="","",J19="VERDADEIRO","Num",J19&lt;&gt;"VERDADEIRO","Alfa")</f>
        <v>Num</v>
      </c>
      <c r="F19">
        <f t="shared" si="0"/>
        <v>1</v>
      </c>
      <c r="G19" s="4" t="str">
        <f>IF(SUM($F$6:F19)=N19,"ok","nok")</f>
        <v>ok</v>
      </c>
      <c r="H19" t="b">
        <f t="shared" si="1"/>
        <v>1</v>
      </c>
      <c r="I19" t="b">
        <f t="shared" si="2"/>
        <v>1</v>
      </c>
      <c r="J19" t="str">
        <f t="shared" si="3"/>
        <v>VERDADEIRO</v>
      </c>
      <c r="L19" s="21" t="s">
        <v>97</v>
      </c>
      <c r="M19" s="22">
        <v>43</v>
      </c>
      <c r="N19" s="22">
        <v>43</v>
      </c>
      <c r="O19" s="22">
        <v>1</v>
      </c>
      <c r="P19" s="21" t="s">
        <v>85</v>
      </c>
    </row>
    <row r="20" spans="1:16" ht="15" customHeight="1">
      <c r="A20" s="21" t="s">
        <v>98</v>
      </c>
      <c r="B20" s="11"/>
      <c r="C20" t="s">
        <v>1038</v>
      </c>
      <c r="D20" t="str">
        <f>LEFT(C20 &amp; "                              ", 30)</f>
        <v xml:space="preserve">Nome de exemplo Recebedor     </v>
      </c>
      <c r="E20" t="str">
        <f t="array" ref="E20">_xlfn.IFS(J20="","",J20="VERDADEIRO","Num",J20&lt;&gt;"VERDADEIRO","Alfa")</f>
        <v>Alfa</v>
      </c>
      <c r="F20">
        <f t="shared" si="0"/>
        <v>30</v>
      </c>
      <c r="G20" s="4" t="str">
        <f>IF(SUM($F$6:F20)=N20,"ok","nok")</f>
        <v>ok</v>
      </c>
      <c r="H20" t="b">
        <f t="shared" si="1"/>
        <v>1</v>
      </c>
      <c r="I20" t="b">
        <f t="shared" si="2"/>
        <v>0</v>
      </c>
      <c r="J20" t="str">
        <f t="shared" si="3"/>
        <v>FALSO</v>
      </c>
      <c r="L20" s="21" t="s">
        <v>98</v>
      </c>
      <c r="M20" s="22">
        <v>44</v>
      </c>
      <c r="N20" s="22">
        <v>73</v>
      </c>
      <c r="O20" s="22">
        <v>30</v>
      </c>
      <c r="P20" s="21" t="s">
        <v>85</v>
      </c>
    </row>
    <row r="21" spans="1:16" ht="15" customHeight="1">
      <c r="A21" s="21" t="s">
        <v>99</v>
      </c>
      <c r="B21" s="21" t="s">
        <v>100</v>
      </c>
      <c r="C21" s="1" t="s">
        <v>183</v>
      </c>
      <c r="D21" t="str">
        <f>LEFT(C21 &amp; "                              ", 20)</f>
        <v xml:space="preserve">                    </v>
      </c>
      <c r="E21" t="str">
        <f t="array" ref="E21">_xlfn.IFS(J21="","",J21="VERDADEIRO","Num",J21&lt;&gt;"VERDADEIRO","Alfa")</f>
        <v>Alfa</v>
      </c>
      <c r="F21">
        <f t="shared" si="0"/>
        <v>20</v>
      </c>
      <c r="G21" s="4" t="str">
        <f>IF(SUM($F$6:F21)=N21,"ok","nok")</f>
        <v>ok</v>
      </c>
      <c r="H21" t="b">
        <f t="shared" si="1"/>
        <v>1</v>
      </c>
      <c r="I21" t="b">
        <f t="shared" si="2"/>
        <v>0</v>
      </c>
      <c r="J21" t="str">
        <f t="shared" si="3"/>
        <v>FALSO</v>
      </c>
      <c r="L21" s="21" t="s">
        <v>99</v>
      </c>
      <c r="M21" s="22">
        <v>74</v>
      </c>
      <c r="N21" s="22">
        <v>93</v>
      </c>
      <c r="O21" s="22">
        <v>20</v>
      </c>
      <c r="P21" s="21" t="s">
        <v>85</v>
      </c>
    </row>
    <row r="22" spans="1:16" ht="15" customHeight="1">
      <c r="A22" s="21" t="s">
        <v>101</v>
      </c>
      <c r="B22" s="21" t="s">
        <v>102</v>
      </c>
      <c r="C22" s="44">
        <f ca="1">TODAY()</f>
        <v>45687</v>
      </c>
      <c r="D22" t="str">
        <f ca="1">TEXT(C22,"DDMMAAAA")</f>
        <v>30012025</v>
      </c>
      <c r="E22" t="str">
        <f t="array" aca="1" ref="E22" ca="1">_xlfn.IFS(J22="","",J22="VERDADEIRO","Num",J22&lt;&gt;"VERDADEIRO","Alfa")</f>
        <v>Num</v>
      </c>
      <c r="F22">
        <f t="shared" ca="1" si="0"/>
        <v>8</v>
      </c>
      <c r="G22" s="4" t="str">
        <f ca="1">IF(SUM($F$6:F22)=N22,"ok","nok")</f>
        <v>ok</v>
      </c>
      <c r="H22" t="b">
        <f t="shared" ca="1" si="1"/>
        <v>1</v>
      </c>
      <c r="I22" t="b">
        <f t="shared" ca="1" si="2"/>
        <v>1</v>
      </c>
      <c r="J22" t="str">
        <f t="shared" ca="1" si="3"/>
        <v>VERDADEIRO</v>
      </c>
      <c r="L22" s="21" t="s">
        <v>101</v>
      </c>
      <c r="M22" s="22">
        <v>94</v>
      </c>
      <c r="N22" s="22">
        <v>101</v>
      </c>
      <c r="O22" s="22">
        <v>8</v>
      </c>
      <c r="P22" s="21" t="s">
        <v>76</v>
      </c>
    </row>
    <row r="23" spans="1:16" ht="15" customHeight="1">
      <c r="A23" s="21" t="s">
        <v>103</v>
      </c>
      <c r="B23" s="21" t="s">
        <v>104</v>
      </c>
      <c r="C23" s="1" t="s">
        <v>184</v>
      </c>
      <c r="D23" t="str">
        <f>C23</f>
        <v>BRL</v>
      </c>
      <c r="E23" t="str">
        <f t="array" ref="E23">_xlfn.IFS(J23="","",J23="VERDADEIRO","Num",J23&lt;&gt;"VERDADEIRO","Alfa")</f>
        <v>Alfa</v>
      </c>
      <c r="F23">
        <f t="shared" si="0"/>
        <v>3</v>
      </c>
      <c r="G23" s="4" t="str">
        <f ca="1">IF(SUM($F$6:F23)=N23,"ok","nok")</f>
        <v>ok</v>
      </c>
      <c r="H23" t="b">
        <f t="shared" si="1"/>
        <v>1</v>
      </c>
      <c r="I23" t="b">
        <f t="shared" si="2"/>
        <v>0</v>
      </c>
      <c r="J23" t="str">
        <f t="shared" si="3"/>
        <v>FALSO</v>
      </c>
      <c r="L23" s="21" t="s">
        <v>103</v>
      </c>
      <c r="M23" s="22">
        <v>102</v>
      </c>
      <c r="N23" s="22">
        <v>104</v>
      </c>
      <c r="O23" s="22">
        <v>3</v>
      </c>
      <c r="P23" s="21" t="s">
        <v>85</v>
      </c>
    </row>
    <row r="24" spans="1:16" ht="15" customHeight="1">
      <c r="A24" s="21" t="s">
        <v>105</v>
      </c>
      <c r="B24" s="43" t="s">
        <v>187</v>
      </c>
      <c r="C24" s="59">
        <v>1</v>
      </c>
      <c r="D24" t="str">
        <f>TEXT(C24,"000000000000000")</f>
        <v>000000000000001</v>
      </c>
      <c r="E24" t="str">
        <f t="array" ref="E24">_xlfn.IFS(J24="","",J24="VERDADEIRO","Num",J24&lt;&gt;"VERDADEIRO","Alfa")</f>
        <v>Num</v>
      </c>
      <c r="F24">
        <f t="shared" si="0"/>
        <v>15</v>
      </c>
      <c r="G24" s="4" t="str">
        <f ca="1">IF(SUM($F$6:F24)=N24,"ok","nok")</f>
        <v>ok</v>
      </c>
      <c r="H24" t="b">
        <f t="shared" si="1"/>
        <v>0</v>
      </c>
      <c r="I24" t="b">
        <f t="shared" si="2"/>
        <v>1</v>
      </c>
      <c r="J24" t="str">
        <f t="shared" si="3"/>
        <v>VERDADEIRO</v>
      </c>
      <c r="L24" s="21" t="s">
        <v>105</v>
      </c>
      <c r="M24" s="22">
        <v>105</v>
      </c>
      <c r="N24" s="22">
        <v>119</v>
      </c>
      <c r="O24" s="22">
        <v>10</v>
      </c>
      <c r="P24" s="21" t="s">
        <v>76</v>
      </c>
    </row>
    <row r="25" spans="1:16" ht="15" customHeight="1">
      <c r="A25" s="21" t="s">
        <v>106</v>
      </c>
      <c r="B25" s="21" t="s">
        <v>107</v>
      </c>
      <c r="C25" s="60">
        <v>124</v>
      </c>
      <c r="D25" t="str">
        <f>TEXT(C25*100,"000000000000000")</f>
        <v>000000000012400</v>
      </c>
      <c r="E25" t="str">
        <f t="array" ref="E25">_xlfn.IFS(J25="","",J25="VERDADEIRO","Num",J25&lt;&gt;"VERDADEIRO","Alfa")</f>
        <v>Num</v>
      </c>
      <c r="F25">
        <f t="shared" si="0"/>
        <v>15</v>
      </c>
      <c r="G25" s="4" t="str">
        <f ca="1">IF(SUM($F$6:F25)=N25,"ok","nok")</f>
        <v>ok</v>
      </c>
      <c r="H25" t="b">
        <f t="shared" si="1"/>
        <v>0</v>
      </c>
      <c r="I25" t="b">
        <f t="shared" si="2"/>
        <v>1</v>
      </c>
      <c r="J25" t="str">
        <f t="shared" si="3"/>
        <v>VERDADEIRO</v>
      </c>
      <c r="L25" s="21" t="s">
        <v>106</v>
      </c>
      <c r="M25" s="22">
        <v>120</v>
      </c>
      <c r="N25" s="22">
        <v>134</v>
      </c>
      <c r="O25" s="22">
        <v>13</v>
      </c>
      <c r="P25" s="21" t="s">
        <v>76</v>
      </c>
    </row>
    <row r="26" spans="1:16" ht="15" customHeight="1">
      <c r="A26" s="21" t="s">
        <v>108</v>
      </c>
      <c r="B26" s="17"/>
      <c r="C26" s="1" t="s">
        <v>3</v>
      </c>
      <c r="D26" t="str">
        <f>LEFT(C26&amp;"                    ",20)</f>
        <v xml:space="preserve">                    </v>
      </c>
      <c r="E26" t="str">
        <f t="array" ref="E26">_xlfn.IFS(J26="","",J26="VERDADEIRO","Num",J26&lt;&gt;"VERDADEIRO","Alfa")</f>
        <v>Alfa</v>
      </c>
      <c r="F26">
        <f t="shared" si="0"/>
        <v>20</v>
      </c>
      <c r="G26" s="4" t="str">
        <f ca="1">IF(SUM($F$6:F26)=N26,"ok","nok")</f>
        <v>ok</v>
      </c>
      <c r="H26" t="b">
        <f t="shared" si="1"/>
        <v>1</v>
      </c>
      <c r="I26" t="b">
        <f t="shared" si="2"/>
        <v>0</v>
      </c>
      <c r="J26" t="str">
        <f t="shared" si="3"/>
        <v>FALSO</v>
      </c>
      <c r="L26" s="21" t="s">
        <v>108</v>
      </c>
      <c r="M26" s="22">
        <v>135</v>
      </c>
      <c r="N26" s="22">
        <v>154</v>
      </c>
      <c r="O26" s="22">
        <v>20</v>
      </c>
      <c r="P26" s="21" t="s">
        <v>85</v>
      </c>
    </row>
    <row r="27" spans="1:16" ht="15" customHeight="1">
      <c r="A27" s="21" t="s">
        <v>109</v>
      </c>
      <c r="B27" s="21" t="s">
        <v>102</v>
      </c>
      <c r="C27" s="44">
        <f ca="1">TODAY()</f>
        <v>45687</v>
      </c>
      <c r="D27" t="str">
        <f ca="1">TEXT(C27,"DDMMAAAA")</f>
        <v>30012025</v>
      </c>
      <c r="E27" t="str">
        <f t="array" aca="1" ref="E27" ca="1">_xlfn.IFS(J27="","",J27="VERDADEIRO","Num",J27&lt;&gt;"VERDADEIRO","Alfa")</f>
        <v>Num</v>
      </c>
      <c r="F27">
        <f t="shared" ca="1" si="0"/>
        <v>8</v>
      </c>
      <c r="G27" s="4" t="str">
        <f ca="1">IF(SUM($F$6:F27)=N27,"ok","nok")</f>
        <v>ok</v>
      </c>
      <c r="H27" t="b">
        <f t="shared" ca="1" si="1"/>
        <v>1</v>
      </c>
      <c r="I27" t="b">
        <f t="shared" ca="1" si="2"/>
        <v>1</v>
      </c>
      <c r="J27" t="str">
        <f t="shared" ca="1" si="3"/>
        <v>VERDADEIRO</v>
      </c>
      <c r="L27" s="21" t="s">
        <v>109</v>
      </c>
      <c r="M27" s="22">
        <v>155</v>
      </c>
      <c r="N27" s="22">
        <v>162</v>
      </c>
      <c r="O27" s="22">
        <v>8</v>
      </c>
      <c r="P27" s="21" t="s">
        <v>76</v>
      </c>
    </row>
    <row r="28" spans="1:16" ht="15" customHeight="1">
      <c r="A28" s="21" t="s">
        <v>110</v>
      </c>
      <c r="B28" s="21" t="s">
        <v>107</v>
      </c>
      <c r="C28" s="75">
        <f>SUM(Registros!I3)</f>
        <v>1500</v>
      </c>
      <c r="D28" t="str">
        <f>TEXT(C28*100,"000000000000000")</f>
        <v>000000000150000</v>
      </c>
      <c r="E28" t="str">
        <f t="array" ref="E28">_xlfn.IFS(J28="","",J28="VERDADEIRO","Num",J28&lt;&gt;"VERDADEIRO","Alfa")</f>
        <v>Num</v>
      </c>
      <c r="F28">
        <f t="shared" si="0"/>
        <v>15</v>
      </c>
      <c r="G28" s="4" t="str">
        <f ca="1">IF(SUM($F$6:F28)=N28,"ok","nok")</f>
        <v>ok</v>
      </c>
      <c r="H28" t="b">
        <f t="shared" si="1"/>
        <v>0</v>
      </c>
      <c r="I28" t="b">
        <f t="shared" si="2"/>
        <v>1</v>
      </c>
      <c r="J28" t="str">
        <f t="shared" si="3"/>
        <v>VERDADEIRO</v>
      </c>
      <c r="L28" s="21" t="s">
        <v>110</v>
      </c>
      <c r="M28" s="22">
        <v>163</v>
      </c>
      <c r="N28" s="22">
        <v>177</v>
      </c>
      <c r="O28" s="22">
        <v>13</v>
      </c>
      <c r="P28" s="21" t="s">
        <v>76</v>
      </c>
    </row>
    <row r="29" spans="1:16" ht="15" customHeight="1">
      <c r="A29" s="21" t="s">
        <v>111</v>
      </c>
      <c r="B29" s="71" t="s">
        <v>990</v>
      </c>
      <c r="C29" s="1" t="s">
        <v>191</v>
      </c>
      <c r="D29" t="str">
        <f>LEFT(C29,16)</f>
        <v xml:space="preserve">                </v>
      </c>
      <c r="E29" t="str">
        <f t="array" ref="E29">_xlfn.IFS(J29="","",J29="VERDADEIRO","Num",J29&lt;&gt;"VERDADEIRO","Alfa")</f>
        <v>Alfa</v>
      </c>
      <c r="F29" s="91">
        <f>IF(LEN(D29)=0,"",LEN(D29))+IF(LEN(D30)=0,"",LEN(D30))</f>
        <v>40</v>
      </c>
      <c r="G29" s="4" t="str">
        <f ca="1">IF(SUM($F$6:F29)=N29,"ok","nok")</f>
        <v>ok</v>
      </c>
      <c r="H29" t="b">
        <f t="shared" si="1"/>
        <v>1</v>
      </c>
      <c r="I29" t="b">
        <f t="shared" si="2"/>
        <v>0</v>
      </c>
      <c r="J29" t="str">
        <f t="shared" si="3"/>
        <v>FALSO</v>
      </c>
      <c r="L29" s="21" t="s">
        <v>111</v>
      </c>
      <c r="M29" s="25">
        <v>178</v>
      </c>
      <c r="N29" s="25">
        <v>217</v>
      </c>
      <c r="O29" s="25">
        <v>40</v>
      </c>
      <c r="P29" s="23" t="s">
        <v>85</v>
      </c>
    </row>
    <row r="30" spans="1:16" ht="15" customHeight="1">
      <c r="A30" s="43" t="s">
        <v>989</v>
      </c>
      <c r="B30" s="24"/>
      <c r="C30" t="s">
        <v>192</v>
      </c>
      <c r="D30" t="str">
        <f>C30</f>
        <v>CCCCCCCCCCCCCCIIIIIIIIRR</v>
      </c>
      <c r="E30" t="str">
        <f t="array" ref="E30">_xlfn.IFS(J30="","",J30="VERDADEIRO","Num",J30&lt;&gt;"VERDADEIRO","Alfa")</f>
        <v>Alfa</v>
      </c>
      <c r="F30" s="91"/>
      <c r="G30" s="4" t="str">
        <f ca="1">IF(SUM($F$6:F30)=N30,"ok","nok")</f>
        <v>ok</v>
      </c>
      <c r="H30" t="str">
        <f t="shared" si="1"/>
        <v/>
      </c>
      <c r="I30" t="b">
        <f t="shared" si="2"/>
        <v>0</v>
      </c>
      <c r="J30" t="str">
        <f t="shared" si="3"/>
        <v>FALSO</v>
      </c>
      <c r="L30" s="21" t="s">
        <v>112</v>
      </c>
      <c r="M30" s="26"/>
      <c r="N30" s="26">
        <v>217</v>
      </c>
      <c r="O30" s="26"/>
      <c r="P30" s="24"/>
    </row>
    <row r="31" spans="1:16" ht="15" customHeight="1">
      <c r="A31" s="21" t="s">
        <v>113</v>
      </c>
      <c r="B31" s="21" t="s">
        <v>114</v>
      </c>
      <c r="C31" s="1" t="s">
        <v>991</v>
      </c>
      <c r="D31" t="str">
        <f>C31</f>
        <v>01</v>
      </c>
      <c r="E31" t="str">
        <f t="array" ref="E31">_xlfn.IFS(J31="","",J31="VERDADEIRO","Num",J31&lt;&gt;"VERDADEIRO","Alfa")</f>
        <v>Alfa</v>
      </c>
      <c r="F31">
        <f t="shared" si="0"/>
        <v>2</v>
      </c>
      <c r="G31" s="4" t="str">
        <f ca="1">IF(SUM($F$6:F31)=N31,"ok","nok")</f>
        <v>ok</v>
      </c>
      <c r="H31" t="b">
        <f t="shared" si="1"/>
        <v>1</v>
      </c>
      <c r="I31" t="b">
        <f t="shared" si="2"/>
        <v>0</v>
      </c>
      <c r="J31" t="str">
        <f t="shared" si="3"/>
        <v>FALSO</v>
      </c>
      <c r="L31" s="21" t="s">
        <v>113</v>
      </c>
      <c r="M31" s="22">
        <v>218</v>
      </c>
      <c r="N31" s="22">
        <v>219</v>
      </c>
      <c r="O31" s="22">
        <v>2</v>
      </c>
      <c r="P31" s="21" t="s">
        <v>85</v>
      </c>
    </row>
    <row r="32" spans="1:16" ht="15" customHeight="1">
      <c r="A32" s="21" t="s">
        <v>115</v>
      </c>
      <c r="B32" s="17"/>
      <c r="C32" s="1" t="s">
        <v>992</v>
      </c>
      <c r="D32" t="str">
        <f>C32</f>
        <v xml:space="preserve">     </v>
      </c>
      <c r="E32" t="str">
        <f t="array" ref="E32">_xlfn.IFS(J32="","",J32="VERDADEIRO","Num",J32&lt;&gt;"VERDADEIRO","Alfa")</f>
        <v>Alfa</v>
      </c>
      <c r="F32">
        <f t="shared" si="0"/>
        <v>5</v>
      </c>
      <c r="G32" s="4" t="str">
        <f ca="1">IF(SUM($F$6:F32)=N32,"ok","nok")</f>
        <v>ok</v>
      </c>
      <c r="H32" t="b">
        <f t="shared" si="1"/>
        <v>1</v>
      </c>
      <c r="I32" t="b">
        <f t="shared" si="2"/>
        <v>0</v>
      </c>
      <c r="J32" t="str">
        <f t="shared" si="3"/>
        <v>FALSO</v>
      </c>
      <c r="L32" s="21" t="s">
        <v>115</v>
      </c>
      <c r="M32" s="22">
        <v>220</v>
      </c>
      <c r="N32" s="22">
        <v>224</v>
      </c>
      <c r="O32" s="22">
        <v>5</v>
      </c>
      <c r="P32" s="21" t="s">
        <v>85</v>
      </c>
    </row>
    <row r="33" spans="1:16" ht="15" customHeight="1">
      <c r="A33" s="21" t="s">
        <v>116</v>
      </c>
      <c r="B33" s="11"/>
      <c r="D33" t="str">
        <f>LEFT(C33&amp;"                    ",2)</f>
        <v xml:space="preserve">  </v>
      </c>
      <c r="E33" t="str">
        <f t="array" ref="E33">_xlfn.IFS(J33="","",J33="VERDADEIRO","Num",J33&lt;&gt;"VERDADEIRO","Alfa")</f>
        <v/>
      </c>
      <c r="F33">
        <f t="shared" si="0"/>
        <v>2</v>
      </c>
      <c r="G33" s="4" t="str">
        <f ca="1">IF(SUM($F$6:F33)=N33,"ok","nok")</f>
        <v>ok</v>
      </c>
      <c r="H33" t="b">
        <f t="shared" si="1"/>
        <v>1</v>
      </c>
      <c r="I33" t="str">
        <f t="shared" si="2"/>
        <v/>
      </c>
      <c r="J33" t="str">
        <f>TRIM(I33)</f>
        <v/>
      </c>
      <c r="L33" s="21" t="s">
        <v>116</v>
      </c>
      <c r="M33" s="22">
        <v>225</v>
      </c>
      <c r="N33" s="22">
        <v>226</v>
      </c>
      <c r="O33" s="22">
        <v>2</v>
      </c>
      <c r="P33" s="21" t="s">
        <v>85</v>
      </c>
    </row>
    <row r="34" spans="1:16">
      <c r="A34" s="21" t="s">
        <v>117</v>
      </c>
      <c r="B34" s="21" t="s">
        <v>118</v>
      </c>
      <c r="C34" t="s">
        <v>186</v>
      </c>
      <c r="D34" t="str">
        <f>C34</f>
        <v xml:space="preserve">   </v>
      </c>
      <c r="E34" t="str">
        <f t="array" ref="E34">_xlfn.IFS(J34="","",J34="VERDADEIRO","Num",J34&lt;&gt;"VERDADEIRO","Alfa")</f>
        <v>Alfa</v>
      </c>
      <c r="F34">
        <f t="shared" si="0"/>
        <v>3</v>
      </c>
      <c r="G34" s="4" t="str">
        <f ca="1">IF(SUM($F$6:F34)=N34,"ok","nok")</f>
        <v>ok</v>
      </c>
      <c r="H34" t="b">
        <f t="shared" si="1"/>
        <v>1</v>
      </c>
      <c r="I34" t="b">
        <f t="shared" si="2"/>
        <v>0</v>
      </c>
      <c r="J34" t="str">
        <f>TRIM(I34)</f>
        <v>FALSO</v>
      </c>
      <c r="L34" s="21" t="s">
        <v>117</v>
      </c>
      <c r="M34" s="22">
        <v>227</v>
      </c>
      <c r="N34" s="22">
        <v>229</v>
      </c>
      <c r="O34" s="22">
        <v>3</v>
      </c>
      <c r="P34" s="21" t="s">
        <v>85</v>
      </c>
    </row>
    <row r="35" spans="1:16">
      <c r="A35" s="21" t="s">
        <v>119</v>
      </c>
      <c r="B35" s="21" t="s">
        <v>87</v>
      </c>
      <c r="C35" s="1" t="s">
        <v>193</v>
      </c>
      <c r="D35" t="str">
        <f>C35</f>
        <v>0</v>
      </c>
      <c r="E35" t="str">
        <f t="array" ref="E35">_xlfn.IFS(J35="","",J35="VERDADEIRO","Num",J35&lt;&gt;"VERDADEIRO","Alfa")</f>
        <v>Alfa</v>
      </c>
      <c r="F35">
        <f t="shared" si="0"/>
        <v>1</v>
      </c>
      <c r="G35" s="4" t="str">
        <f ca="1">IF(SUM($F$6:F35)=N35,"ok","nok")</f>
        <v>ok</v>
      </c>
      <c r="H35" t="b">
        <f t="shared" si="1"/>
        <v>1</v>
      </c>
      <c r="I35" t="b">
        <f t="shared" si="2"/>
        <v>0</v>
      </c>
      <c r="J35" t="str">
        <f>TRIM(I35)</f>
        <v>FALSO</v>
      </c>
      <c r="L35" s="21" t="s">
        <v>119</v>
      </c>
      <c r="M35" s="22">
        <v>230</v>
      </c>
      <c r="N35" s="22">
        <v>230</v>
      </c>
      <c r="O35" s="22">
        <v>1</v>
      </c>
      <c r="P35" s="21" t="s">
        <v>76</v>
      </c>
    </row>
    <row r="36" spans="1:16">
      <c r="A36" s="21" t="s">
        <v>120</v>
      </c>
      <c r="B36" s="21" t="s">
        <v>118</v>
      </c>
      <c r="C36" s="1" t="s">
        <v>4</v>
      </c>
      <c r="D36" t="str">
        <f>LEFT(C36&amp;"                    ",10)</f>
        <v xml:space="preserve">          </v>
      </c>
      <c r="E36" t="str">
        <f t="array" ref="E36">_xlfn.IFS(J36="","",J36="VERDADEIRO","Num",J36&lt;&gt;"VERDADEIRO","Alfa")</f>
        <v>Alfa</v>
      </c>
      <c r="F36">
        <f t="shared" si="0"/>
        <v>10</v>
      </c>
      <c r="G36" s="4" t="str">
        <f ca="1">IF(SUM($F$6:F36)=N36,"ok","nok")</f>
        <v>ok</v>
      </c>
      <c r="H36" t="b">
        <f t="shared" si="1"/>
        <v>1</v>
      </c>
      <c r="I36" t="b">
        <f t="shared" si="2"/>
        <v>0</v>
      </c>
      <c r="J36" t="str">
        <f>TRIM(I36)</f>
        <v>FALSO</v>
      </c>
      <c r="L36" s="21" t="s">
        <v>120</v>
      </c>
      <c r="M36" s="22">
        <v>231</v>
      </c>
      <c r="N36" s="22">
        <v>240</v>
      </c>
      <c r="O36" s="22">
        <v>10</v>
      </c>
      <c r="P36" s="21" t="s">
        <v>85</v>
      </c>
    </row>
  </sheetData>
  <autoFilter ref="A5:P36" xr:uid="{CA105AB3-54C6-4D80-BBA6-9CE6F326648C}"/>
  <mergeCells count="5">
    <mergeCell ref="M4:N4"/>
    <mergeCell ref="F4:F5"/>
    <mergeCell ref="G4:G5"/>
    <mergeCell ref="O4:O5"/>
    <mergeCell ref="F29:F30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8FF4C-6793-4971-A904-B556779F53B6}">
  <sheetPr codeName="Planilha7"/>
  <dimension ref="A1:R18"/>
  <sheetViews>
    <sheetView workbookViewId="0">
      <selection activeCell="A2" sqref="A2"/>
    </sheetView>
  </sheetViews>
  <sheetFormatPr defaultRowHeight="15"/>
  <cols>
    <col min="1" max="1" width="32.5703125" bestFit="1" customWidth="1"/>
    <col min="2" max="2" width="32.85546875" bestFit="1" customWidth="1"/>
    <col min="3" max="3" width="40.7109375" bestFit="1" customWidth="1"/>
    <col min="4" max="4" width="24.140625" customWidth="1"/>
    <col min="5" max="5" width="7.7109375" bestFit="1" customWidth="1"/>
    <col min="6" max="6" width="13.85546875" bestFit="1" customWidth="1"/>
    <col min="7" max="7" width="8.5703125" bestFit="1" customWidth="1"/>
    <col min="11" max="11" width="18.7109375" customWidth="1"/>
    <col min="12" max="12" width="5.28515625" customWidth="1"/>
    <col min="13" max="13" width="6.7109375" customWidth="1"/>
    <col min="14" max="14" width="16.28515625" bestFit="1" customWidth="1"/>
    <col min="15" max="15" width="7.7109375" bestFit="1" customWidth="1"/>
  </cols>
  <sheetData>
    <row r="1" spans="1:18">
      <c r="A1" s="5" t="s">
        <v>181</v>
      </c>
    </row>
    <row r="2" spans="1:18" ht="38.25">
      <c r="A2" s="9" t="str">
        <f>_xlfn.CONCAT(D6:D18)</f>
        <v>0770034300000B200099999999999                                                                                               Chave de endereçamento                                                                             00000000000000</v>
      </c>
      <c r="B2" s="5">
        <f>LEN(A2)</f>
        <v>237</v>
      </c>
    </row>
    <row r="4" spans="1:18" ht="15" customHeight="1">
      <c r="A4" s="14" t="s">
        <v>6</v>
      </c>
      <c r="B4" s="14" t="s">
        <v>121</v>
      </c>
      <c r="C4" s="41" t="s">
        <v>7</v>
      </c>
      <c r="E4" s="14" t="s">
        <v>10</v>
      </c>
      <c r="F4" s="81" t="s">
        <v>9</v>
      </c>
      <c r="G4" s="85" t="s">
        <v>160</v>
      </c>
      <c r="H4" s="39" t="s">
        <v>167</v>
      </c>
      <c r="K4" s="14" t="s">
        <v>6</v>
      </c>
      <c r="L4" s="92" t="s">
        <v>8</v>
      </c>
      <c r="M4" s="93"/>
      <c r="N4" s="14" t="s">
        <v>9</v>
      </c>
      <c r="O4" s="14" t="s">
        <v>10</v>
      </c>
      <c r="P4" s="32"/>
      <c r="Q4" s="32"/>
      <c r="R4" s="27"/>
    </row>
    <row r="5" spans="1:18">
      <c r="A5" s="15"/>
      <c r="B5" s="15"/>
      <c r="C5" s="42"/>
      <c r="E5" s="15"/>
      <c r="F5" s="82"/>
      <c r="G5" s="86"/>
      <c r="H5" s="40"/>
      <c r="K5" s="15"/>
      <c r="L5" s="7" t="s">
        <v>11</v>
      </c>
      <c r="M5" s="7" t="s">
        <v>12</v>
      </c>
      <c r="N5" s="15"/>
      <c r="O5" s="15"/>
      <c r="P5" s="32"/>
      <c r="Q5" s="32"/>
      <c r="R5" s="27"/>
    </row>
    <row r="6" spans="1:18" ht="15" customHeight="1">
      <c r="A6" s="12" t="s">
        <v>13</v>
      </c>
      <c r="B6" s="30" t="s">
        <v>14</v>
      </c>
      <c r="C6">
        <v>77</v>
      </c>
      <c r="D6" t="str">
        <f>TEXT(C6,"000")</f>
        <v>077</v>
      </c>
      <c r="E6" t="str">
        <f>_xlfn.IFS(J6="","",J6="VERDADEIRO","Num",J6&lt;&gt;"VERDADEIRO","Alfa")</f>
        <v>Num</v>
      </c>
      <c r="F6">
        <f t="shared" ref="F6:F18" si="0">IF(LEN(D6)=0,"",LEN(D6))</f>
        <v>3</v>
      </c>
      <c r="G6" s="4" t="str">
        <f>IF(F6=N6,"ok","nok")</f>
        <v>ok</v>
      </c>
      <c r="H6" t="b">
        <f t="shared" ref="H6:H18" si="1">IF(F6="","",F6=N6)</f>
        <v>1</v>
      </c>
      <c r="I6" t="b">
        <f>IF(C6="","",(ISNUMBER(C6)))</f>
        <v>1</v>
      </c>
      <c r="J6" t="str">
        <f>TRIM(I6)</f>
        <v>VERDADEIRO</v>
      </c>
      <c r="K6" s="50" t="s">
        <v>13</v>
      </c>
      <c r="L6" s="31">
        <v>1</v>
      </c>
      <c r="M6" s="31">
        <v>3</v>
      </c>
      <c r="N6" s="31">
        <v>3</v>
      </c>
      <c r="O6" s="30" t="s">
        <v>15</v>
      </c>
      <c r="P6" s="32"/>
      <c r="Q6" s="32"/>
      <c r="R6" s="27"/>
    </row>
    <row r="7" spans="1:18" ht="15" customHeight="1">
      <c r="A7" s="12" t="s">
        <v>122</v>
      </c>
      <c r="B7" s="30" t="s">
        <v>123</v>
      </c>
      <c r="C7">
        <f>Registros!D1</f>
        <v>34</v>
      </c>
      <c r="D7" t="str">
        <f>TEXT(C7,"0000")</f>
        <v>0034</v>
      </c>
      <c r="E7" t="str">
        <f t="array" ref="E7">_xlfn.IFS(J7="","",J7="VERDADEIRO","Num",J7&lt;&gt;"VERDADEIRO","Alfa")</f>
        <v>Num</v>
      </c>
      <c r="F7">
        <f t="shared" si="0"/>
        <v>4</v>
      </c>
      <c r="G7" s="4" t="str">
        <f>IF(SUM($F$6:F7)=M7,"ok","nok")</f>
        <v>ok</v>
      </c>
      <c r="H7" t="b">
        <f t="shared" si="1"/>
        <v>1</v>
      </c>
      <c r="I7" t="b">
        <f t="shared" ref="I7:I18" si="2">IF(C7="","",(ISNUMBER(C7)))</f>
        <v>1</v>
      </c>
      <c r="J7" t="str">
        <f t="shared" ref="J7:J18" si="3">TRIM(I7)</f>
        <v>VERDADEIRO</v>
      </c>
      <c r="K7" s="50" t="s">
        <v>122</v>
      </c>
      <c r="L7" s="31">
        <v>4</v>
      </c>
      <c r="M7" s="31">
        <v>7</v>
      </c>
      <c r="N7" s="31">
        <v>4</v>
      </c>
      <c r="O7" s="30" t="s">
        <v>15</v>
      </c>
      <c r="P7" s="32"/>
      <c r="Q7" s="32"/>
      <c r="R7" s="27"/>
    </row>
    <row r="8" spans="1:18" ht="15" customHeight="1">
      <c r="A8" s="9" t="s">
        <v>124</v>
      </c>
      <c r="B8" s="28" t="s">
        <v>125</v>
      </c>
      <c r="C8" s="1">
        <v>3</v>
      </c>
      <c r="D8">
        <f>C8</f>
        <v>3</v>
      </c>
      <c r="E8" t="str">
        <f t="array" ref="E8">_xlfn.IFS(J8="","",J8="VERDADEIRO","Num",J8&lt;&gt;"VERDADEIRO","Alfa")</f>
        <v>Num</v>
      </c>
      <c r="F8">
        <f t="shared" si="0"/>
        <v>1</v>
      </c>
      <c r="G8" s="4" t="str">
        <f>IF(SUM($F$6:F8)=M8,"ok","nok")</f>
        <v>ok</v>
      </c>
      <c r="H8" t="b">
        <f t="shared" si="1"/>
        <v>1</v>
      </c>
      <c r="I8" t="b">
        <f t="shared" si="2"/>
        <v>1</v>
      </c>
      <c r="J8" t="str">
        <f t="shared" si="3"/>
        <v>VERDADEIRO</v>
      </c>
      <c r="K8" s="46" t="s">
        <v>124</v>
      </c>
      <c r="L8" s="29">
        <v>8</v>
      </c>
      <c r="M8" s="29">
        <v>8</v>
      </c>
      <c r="N8" s="29">
        <v>1</v>
      </c>
      <c r="O8" s="28" t="s">
        <v>15</v>
      </c>
      <c r="P8" s="32"/>
      <c r="Q8" s="32"/>
      <c r="R8" s="27"/>
    </row>
    <row r="9" spans="1:18" ht="15" customHeight="1">
      <c r="A9" s="9" t="s">
        <v>126</v>
      </c>
      <c r="B9" s="30" t="s">
        <v>127</v>
      </c>
      <c r="C9" s="1">
        <v>0</v>
      </c>
      <c r="D9" s="1" t="str">
        <f>TEXT(C9,"00000")</f>
        <v>00000</v>
      </c>
      <c r="E9" t="str">
        <f t="array" ref="E9">_xlfn.IFS(J9="","",J9="VERDADEIRO","Num",J9&lt;&gt;"VERDADEIRO","Alfa")</f>
        <v>Num</v>
      </c>
      <c r="F9">
        <f t="shared" si="0"/>
        <v>5</v>
      </c>
      <c r="G9" s="4" t="str">
        <f>IF(SUM($F$6:F9)=M9,"ok","nok")</f>
        <v>ok</v>
      </c>
      <c r="H9" t="b">
        <f t="shared" si="1"/>
        <v>1</v>
      </c>
      <c r="I9" t="b">
        <f t="shared" si="2"/>
        <v>1</v>
      </c>
      <c r="J9" t="str">
        <f t="shared" si="3"/>
        <v>VERDADEIRO</v>
      </c>
      <c r="K9" s="46" t="s">
        <v>126</v>
      </c>
      <c r="L9" s="31">
        <v>9</v>
      </c>
      <c r="M9" s="31">
        <v>13</v>
      </c>
      <c r="N9" s="31">
        <v>5</v>
      </c>
      <c r="O9" s="30" t="s">
        <v>15</v>
      </c>
      <c r="P9" s="32"/>
      <c r="Q9" s="32"/>
      <c r="R9" s="27"/>
    </row>
    <row r="10" spans="1:18" ht="15" customHeight="1">
      <c r="A10" s="9" t="s">
        <v>128</v>
      </c>
      <c r="B10" s="30" t="s">
        <v>129</v>
      </c>
      <c r="C10" t="s">
        <v>189</v>
      </c>
      <c r="D10" t="str">
        <f>C10</f>
        <v>B</v>
      </c>
      <c r="E10" t="str">
        <f t="array" ref="E10">_xlfn.IFS(J10="","",J10="VERDADEIRO","Num",J10&lt;&gt;"VERDADEIRO","Alfa")</f>
        <v>Alfa</v>
      </c>
      <c r="F10">
        <f t="shared" si="0"/>
        <v>1</v>
      </c>
      <c r="G10" s="4" t="str">
        <f>IF(SUM($F$6:F10)=M10,"ok","nok")</f>
        <v>ok</v>
      </c>
      <c r="H10" t="b">
        <f t="shared" si="1"/>
        <v>1</v>
      </c>
      <c r="I10" t="b">
        <f t="shared" si="2"/>
        <v>0</v>
      </c>
      <c r="J10" t="str">
        <f t="shared" si="3"/>
        <v>FALSO</v>
      </c>
      <c r="K10" s="46" t="s">
        <v>128</v>
      </c>
      <c r="L10" s="31">
        <v>14</v>
      </c>
      <c r="M10" s="31">
        <v>14</v>
      </c>
      <c r="N10" s="31">
        <v>1</v>
      </c>
      <c r="O10" s="30" t="s">
        <v>22</v>
      </c>
      <c r="P10" s="32"/>
      <c r="Q10" s="32"/>
      <c r="R10" s="27"/>
    </row>
    <row r="11" spans="1:18" ht="15" customHeight="1">
      <c r="A11" s="9" t="s">
        <v>130</v>
      </c>
      <c r="B11" s="28" t="s">
        <v>131</v>
      </c>
      <c r="C11" s="1" t="s">
        <v>995</v>
      </c>
      <c r="D11" s="1"/>
      <c r="E11" t="str">
        <f t="array" ref="E11">_xlfn.IFS(J11="","",J11="VERDADEIRO","Num",J11&lt;&gt;"VERDADEIRO","Alfa")</f>
        <v>Alfa</v>
      </c>
      <c r="F11" t="str">
        <f t="shared" si="0"/>
        <v/>
      </c>
      <c r="G11" s="4" t="str">
        <f>IF(SUM($F$6:F11)=M11,"ok","nok")</f>
        <v>nok</v>
      </c>
      <c r="H11" t="str">
        <f t="shared" si="1"/>
        <v/>
      </c>
      <c r="I11" t="b">
        <f t="shared" si="2"/>
        <v>0</v>
      </c>
      <c r="J11" t="str">
        <f t="shared" si="3"/>
        <v>FALSO</v>
      </c>
      <c r="K11" s="46" t="s">
        <v>130</v>
      </c>
      <c r="L11" s="29">
        <v>15</v>
      </c>
      <c r="M11" s="29">
        <v>17</v>
      </c>
      <c r="N11" s="29">
        <v>3</v>
      </c>
      <c r="O11" s="28" t="s">
        <v>22</v>
      </c>
      <c r="P11" s="32"/>
      <c r="Q11" s="32"/>
      <c r="R11" s="27"/>
    </row>
    <row r="12" spans="1:18" ht="15" customHeight="1">
      <c r="A12" s="9" t="s">
        <v>132</v>
      </c>
      <c r="B12" s="28" t="s">
        <v>133</v>
      </c>
      <c r="C12" s="1">
        <v>2</v>
      </c>
      <c r="D12" s="1" t="str">
        <f>TEXT(C12,"0")</f>
        <v>2</v>
      </c>
      <c r="E12" t="str">
        <f t="array" ref="E12">_xlfn.IFS(J12="","",J12="VERDADEIRO","Num",J12&lt;&gt;"VERDADEIRO","Alfa")</f>
        <v>Num</v>
      </c>
      <c r="F12">
        <f t="shared" si="0"/>
        <v>1</v>
      </c>
      <c r="G12" s="4" t="str">
        <f>IF(SUM($F$6:F12)=M12,"ok","nok")</f>
        <v>nok</v>
      </c>
      <c r="H12" t="b">
        <f t="shared" si="1"/>
        <v>1</v>
      </c>
      <c r="I12" t="b">
        <f t="shared" si="2"/>
        <v>1</v>
      </c>
      <c r="J12" t="str">
        <f t="shared" si="3"/>
        <v>VERDADEIRO</v>
      </c>
      <c r="K12" s="46" t="s">
        <v>132</v>
      </c>
      <c r="L12" s="29">
        <v>18</v>
      </c>
      <c r="M12" s="29">
        <v>18</v>
      </c>
      <c r="N12" s="29">
        <v>1</v>
      </c>
      <c r="O12" s="28" t="s">
        <v>15</v>
      </c>
      <c r="P12" s="32"/>
      <c r="Q12" s="32"/>
      <c r="R12" s="27"/>
    </row>
    <row r="13" spans="1:18" ht="15" customHeight="1">
      <c r="A13" s="9" t="s">
        <v>134</v>
      </c>
      <c r="B13" s="33"/>
      <c r="C13" s="1">
        <v>99999999999</v>
      </c>
      <c r="D13" t="str">
        <f>TEXT(C13,"00000000000000")</f>
        <v>00099999999999</v>
      </c>
      <c r="E13" t="str">
        <f t="array" ref="E13">_xlfn.IFS(J13="","",J13="VERDADEIRO","Num",J13&lt;&gt;"VERDADEIRO","Alfa")</f>
        <v>Num</v>
      </c>
      <c r="F13">
        <f t="shared" si="0"/>
        <v>14</v>
      </c>
      <c r="G13" s="4" t="str">
        <f>IF(SUM($F$6:F13)=M13,"ok","nok")</f>
        <v>nok</v>
      </c>
      <c r="H13" t="b">
        <f t="shared" si="1"/>
        <v>1</v>
      </c>
      <c r="I13" t="b">
        <f t="shared" si="2"/>
        <v>1</v>
      </c>
      <c r="J13" t="str">
        <f t="shared" si="3"/>
        <v>VERDADEIRO</v>
      </c>
      <c r="K13" s="46" t="s">
        <v>134</v>
      </c>
      <c r="L13" s="29">
        <v>19</v>
      </c>
      <c r="M13" s="29">
        <v>32</v>
      </c>
      <c r="N13" s="29">
        <v>14</v>
      </c>
      <c r="O13" s="28" t="s">
        <v>15</v>
      </c>
      <c r="P13" s="32"/>
      <c r="Q13" s="32"/>
      <c r="R13" s="27"/>
    </row>
    <row r="14" spans="1:18" ht="15" customHeight="1">
      <c r="A14" s="9" t="s">
        <v>135</v>
      </c>
      <c r="B14" s="28" t="s">
        <v>136</v>
      </c>
      <c r="C14" t="s">
        <v>194</v>
      </c>
      <c r="D14" t="str">
        <f>LEFT(C14&amp;"                    ",35)</f>
        <v xml:space="preserve">                                   </v>
      </c>
      <c r="E14" t="str">
        <f t="array" ref="E14">_xlfn.IFS(J14="","",J14="VERDADEIRO","Num",J14&lt;&gt;"VERDADEIRO","Alfa")</f>
        <v>Alfa</v>
      </c>
      <c r="F14">
        <f t="shared" si="0"/>
        <v>35</v>
      </c>
      <c r="G14" s="4" t="str">
        <f>IF(SUM($F$6:F14)=M14,"ok","nok")</f>
        <v>nok</v>
      </c>
      <c r="H14" t="b">
        <f t="shared" si="1"/>
        <v>1</v>
      </c>
      <c r="I14" t="b">
        <f t="shared" si="2"/>
        <v>0</v>
      </c>
      <c r="J14" t="str">
        <f t="shared" si="3"/>
        <v>FALSO</v>
      </c>
      <c r="K14" s="46" t="s">
        <v>135</v>
      </c>
      <c r="L14" s="29">
        <v>33</v>
      </c>
      <c r="M14" s="29">
        <v>67</v>
      </c>
      <c r="N14" s="29">
        <v>35</v>
      </c>
      <c r="O14" s="28" t="s">
        <v>22</v>
      </c>
      <c r="P14" s="32"/>
      <c r="Q14" s="32"/>
      <c r="R14" s="27"/>
    </row>
    <row r="15" spans="1:18" ht="15" customHeight="1">
      <c r="A15" s="12" t="s">
        <v>137</v>
      </c>
      <c r="B15" s="28" t="s">
        <v>136</v>
      </c>
      <c r="C15" t="s">
        <v>194</v>
      </c>
      <c r="D15" t="str">
        <f>LEFT(C15&amp;"                    ",60)</f>
        <v xml:space="preserve">                                                            </v>
      </c>
      <c r="E15" t="str">
        <f t="array" ref="E15">_xlfn.IFS(J15="","",J15="VERDADEIRO","Num",J15&lt;&gt;"VERDADEIRO","Alfa")</f>
        <v>Alfa</v>
      </c>
      <c r="F15">
        <f t="shared" si="0"/>
        <v>60</v>
      </c>
      <c r="G15" s="4" t="str">
        <f>IF(SUM($F$6:F15)=M15,"ok","nok")</f>
        <v>nok</v>
      </c>
      <c r="H15" t="b">
        <f t="shared" si="1"/>
        <v>1</v>
      </c>
      <c r="I15" t="b">
        <f t="shared" si="2"/>
        <v>0</v>
      </c>
      <c r="J15" t="str">
        <f t="shared" si="3"/>
        <v>FALSO</v>
      </c>
      <c r="K15" s="50" t="s">
        <v>137</v>
      </c>
      <c r="L15" s="31">
        <v>68</v>
      </c>
      <c r="M15" s="31">
        <v>127</v>
      </c>
      <c r="N15" s="31">
        <v>60</v>
      </c>
      <c r="O15" s="30" t="s">
        <v>22</v>
      </c>
      <c r="P15" s="32"/>
      <c r="Q15" s="32"/>
      <c r="R15" s="27"/>
    </row>
    <row r="16" spans="1:18" ht="15" customHeight="1">
      <c r="A16" s="12" t="s">
        <v>138</v>
      </c>
      <c r="B16" s="37" t="s">
        <v>987</v>
      </c>
      <c r="C16" t="s">
        <v>988</v>
      </c>
      <c r="D16" t="str">
        <f>LEFT(C16&amp;"                    ",99)</f>
        <v xml:space="preserve">Chave de endereçamento                                                                             </v>
      </c>
      <c r="E16" t="str">
        <f t="array" ref="E16">_xlfn.IFS(J16="","",J16="VERDADEIRO","Num",J16&lt;&gt;"VERDADEIRO","Alfa")</f>
        <v>Alfa</v>
      </c>
      <c r="F16">
        <f t="shared" si="0"/>
        <v>99</v>
      </c>
      <c r="G16" s="4" t="str">
        <f>IF(SUM($F$6:F16)=M16,"ok","nok")</f>
        <v>nok</v>
      </c>
      <c r="H16" t="b">
        <f t="shared" si="1"/>
        <v>1</v>
      </c>
      <c r="I16" t="b">
        <f t="shared" si="2"/>
        <v>0</v>
      </c>
      <c r="J16" t="str">
        <f t="shared" si="3"/>
        <v>FALSO</v>
      </c>
      <c r="K16" s="50" t="s">
        <v>138</v>
      </c>
      <c r="L16" s="31">
        <v>128</v>
      </c>
      <c r="M16" s="31">
        <v>226</v>
      </c>
      <c r="N16" s="31">
        <v>99</v>
      </c>
      <c r="O16" s="30" t="s">
        <v>22</v>
      </c>
      <c r="P16" s="32"/>
      <c r="Q16" s="32"/>
      <c r="R16" s="27"/>
    </row>
    <row r="17" spans="1:18" ht="15" customHeight="1">
      <c r="A17" s="12" t="s">
        <v>139</v>
      </c>
      <c r="B17" s="33"/>
      <c r="C17">
        <v>0</v>
      </c>
      <c r="D17" s="1" t="str">
        <f>TEXT(C17,"000000")</f>
        <v>000000</v>
      </c>
      <c r="E17" t="str">
        <f t="array" ref="E17">_xlfn.IFS(J17="","",J17="VERDADEIRO","Num",J17&lt;&gt;"VERDADEIRO","Alfa")</f>
        <v>Num</v>
      </c>
      <c r="F17">
        <f t="shared" si="0"/>
        <v>6</v>
      </c>
      <c r="G17" s="4" t="str">
        <f>IF(SUM($F$6:F17)=M17,"ok","nok")</f>
        <v>nok</v>
      </c>
      <c r="H17" t="b">
        <f t="shared" si="1"/>
        <v>1</v>
      </c>
      <c r="I17" t="b">
        <f t="shared" si="2"/>
        <v>1</v>
      </c>
      <c r="J17" t="str">
        <f t="shared" si="3"/>
        <v>VERDADEIRO</v>
      </c>
      <c r="K17" s="50" t="s">
        <v>139</v>
      </c>
      <c r="L17" s="31">
        <v>227</v>
      </c>
      <c r="M17" s="31">
        <v>232</v>
      </c>
      <c r="N17" s="31">
        <v>6</v>
      </c>
      <c r="O17" s="30" t="s">
        <v>15</v>
      </c>
      <c r="P17" s="32"/>
      <c r="Q17" s="32"/>
      <c r="R17" s="27"/>
    </row>
    <row r="18" spans="1:18" ht="15" customHeight="1">
      <c r="A18" s="12" t="s">
        <v>140</v>
      </c>
      <c r="B18" s="33"/>
      <c r="C18">
        <v>0</v>
      </c>
      <c r="D18" s="1" t="str">
        <f>TEXT(C18,"00000000")</f>
        <v>00000000</v>
      </c>
      <c r="E18" t="str">
        <f t="array" ref="E18">_xlfn.IFS(J18="","",J18="VERDADEIRO","Num",J18&lt;&gt;"VERDADEIRO","Alfa")</f>
        <v>Num</v>
      </c>
      <c r="F18">
        <f t="shared" si="0"/>
        <v>8</v>
      </c>
      <c r="G18" s="4" t="str">
        <f>IF(SUM($F$6:F18)=M18,"ok","nok")</f>
        <v>nok</v>
      </c>
      <c r="H18" t="b">
        <f t="shared" si="1"/>
        <v>1</v>
      </c>
      <c r="I18" t="b">
        <f t="shared" si="2"/>
        <v>1</v>
      </c>
      <c r="J18" t="str">
        <f t="shared" si="3"/>
        <v>VERDADEIRO</v>
      </c>
      <c r="K18" s="50" t="s">
        <v>140</v>
      </c>
      <c r="L18" s="31">
        <v>233</v>
      </c>
      <c r="M18" s="31">
        <v>240</v>
      </c>
      <c r="N18" s="31">
        <v>8</v>
      </c>
      <c r="O18" s="30" t="s">
        <v>15</v>
      </c>
      <c r="P18" s="32"/>
      <c r="Q18" s="32"/>
      <c r="R18" s="27"/>
    </row>
  </sheetData>
  <mergeCells count="3">
    <mergeCell ref="L4:M4"/>
    <mergeCell ref="F4:F5"/>
    <mergeCell ref="G4:G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4133-FFA2-451E-887C-CBF882BB6629}">
  <sheetPr codeName="Planilha8"/>
  <dimension ref="A1:O15"/>
  <sheetViews>
    <sheetView workbookViewId="0">
      <selection activeCell="D7" sqref="D7"/>
    </sheetView>
  </sheetViews>
  <sheetFormatPr defaultRowHeight="15"/>
  <cols>
    <col min="1" max="1" width="48" customWidth="1"/>
    <col min="2" max="2" width="17.85546875" bestFit="1" customWidth="1"/>
    <col min="3" max="3" width="40.7109375" bestFit="1" customWidth="1"/>
    <col min="4" max="4" width="24.140625" customWidth="1"/>
    <col min="5" max="5" width="4.5703125" customWidth="1"/>
    <col min="6" max="6" width="13.85546875" bestFit="1" customWidth="1"/>
    <col min="7" max="7" width="8.5703125" bestFit="1" customWidth="1"/>
    <col min="11" max="11" width="17.85546875" bestFit="1" customWidth="1"/>
    <col min="12" max="13" width="4" bestFit="1" customWidth="1"/>
    <col min="14" max="14" width="16.28515625" bestFit="1" customWidth="1"/>
    <col min="15" max="15" width="7.7109375" bestFit="1" customWidth="1"/>
  </cols>
  <sheetData>
    <row r="1" spans="1:15">
      <c r="A1" s="5" t="s">
        <v>198</v>
      </c>
    </row>
    <row r="2" spans="1:15" ht="38.25">
      <c r="A2" s="9" t="str">
        <f>_xlfn.CONCAT(D6:D15)</f>
        <v xml:space="preserve">07700345         000022000000000003335125000000000000000000000000                                                                                                                                                                               </v>
      </c>
      <c r="B2" s="5">
        <f>LEN(A2)</f>
        <v>240</v>
      </c>
    </row>
    <row r="3" spans="1:15" ht="15" customHeight="1"/>
    <row r="4" spans="1:15" ht="15" customHeight="1">
      <c r="A4" s="14" t="s">
        <v>6</v>
      </c>
      <c r="B4" s="14" t="s">
        <v>7</v>
      </c>
      <c r="C4" s="41" t="s">
        <v>7</v>
      </c>
      <c r="E4" s="14" t="s">
        <v>10</v>
      </c>
      <c r="F4" s="81" t="s">
        <v>9</v>
      </c>
      <c r="G4" s="85" t="s">
        <v>160</v>
      </c>
      <c r="H4" s="39" t="s">
        <v>167</v>
      </c>
      <c r="K4" s="14" t="s">
        <v>7</v>
      </c>
      <c r="L4" s="92" t="s">
        <v>8</v>
      </c>
      <c r="M4" s="93"/>
      <c r="N4" s="14" t="s">
        <v>9</v>
      </c>
      <c r="O4" s="14" t="s">
        <v>10</v>
      </c>
    </row>
    <row r="5" spans="1:15" ht="15" customHeight="1">
      <c r="A5" s="15"/>
      <c r="B5" s="15"/>
      <c r="C5" s="42"/>
      <c r="E5" s="15"/>
      <c r="F5" s="82"/>
      <c r="G5" s="86"/>
      <c r="H5" s="40"/>
      <c r="K5" s="15"/>
      <c r="L5" s="7" t="s">
        <v>11</v>
      </c>
      <c r="M5" s="7" t="s">
        <v>12</v>
      </c>
      <c r="N5" s="15"/>
      <c r="O5" s="15"/>
    </row>
    <row r="6" spans="1:15" ht="15" customHeight="1">
      <c r="A6" s="9" t="s">
        <v>13</v>
      </c>
      <c r="B6" s="28" t="s">
        <v>14</v>
      </c>
      <c r="C6">
        <v>77</v>
      </c>
      <c r="D6" t="str">
        <f>TEXT(C6,"000")</f>
        <v>077</v>
      </c>
      <c r="E6" t="str">
        <f>_xlfn.IFS(J6="","",J6="VERDADEIRO","Num",J6&lt;&gt;"VERDADEIRO","Alfa")</f>
        <v>Num</v>
      </c>
      <c r="F6">
        <f t="shared" ref="F6:F11" si="0">IF(LEN(D6)=0,"",LEN(D6))</f>
        <v>3</v>
      </c>
      <c r="G6" s="4" t="str">
        <f>IF(F6=N6,"ok","nok")</f>
        <v>ok</v>
      </c>
      <c r="H6" t="b">
        <f t="shared" ref="H6:H11" si="1">IF(F6="","",F6=N6)</f>
        <v>1</v>
      </c>
      <c r="I6" t="b">
        <f t="shared" ref="I6:I15" si="2">IF(C6="","",(ISNUMBER(C6)))</f>
        <v>1</v>
      </c>
      <c r="J6" t="str">
        <f t="shared" ref="J6:J15" si="3">TRIM(I6)</f>
        <v>VERDADEIRO</v>
      </c>
      <c r="K6" s="28" t="s">
        <v>14</v>
      </c>
      <c r="L6" s="29">
        <v>1</v>
      </c>
      <c r="M6" s="29">
        <v>3</v>
      </c>
      <c r="N6" s="29">
        <v>3</v>
      </c>
      <c r="O6" s="28" t="s">
        <v>15</v>
      </c>
    </row>
    <row r="7" spans="1:15" ht="15" customHeight="1">
      <c r="A7" s="12" t="s">
        <v>122</v>
      </c>
      <c r="B7" s="37" t="s">
        <v>161</v>
      </c>
      <c r="C7">
        <f>Registros!D1</f>
        <v>34</v>
      </c>
      <c r="D7" t="str">
        <f>TEXT(C7,"0000")</f>
        <v>0034</v>
      </c>
      <c r="E7" t="str">
        <f t="array" ref="E7">_xlfn.IFS(J7="","",J7="VERDADEIRO","Num",J7&lt;&gt;"VERDADEIRO","Alfa")</f>
        <v>Num</v>
      </c>
      <c r="F7">
        <f t="shared" si="0"/>
        <v>4</v>
      </c>
      <c r="G7" s="4" t="str">
        <f>IF(SUM($F$6:F7)=M7,"ok","nok")</f>
        <v>ok</v>
      </c>
      <c r="H7" t="b">
        <f t="shared" si="1"/>
        <v>1</v>
      </c>
      <c r="I7" t="b">
        <f t="shared" si="2"/>
        <v>1</v>
      </c>
      <c r="J7" t="str">
        <f t="shared" si="3"/>
        <v>VERDADEIRO</v>
      </c>
      <c r="K7" s="37" t="s">
        <v>161</v>
      </c>
      <c r="L7" s="31">
        <v>4</v>
      </c>
      <c r="M7" s="31">
        <v>7</v>
      </c>
      <c r="N7" s="31">
        <v>4</v>
      </c>
      <c r="O7" s="30" t="s">
        <v>15</v>
      </c>
    </row>
    <row r="8" spans="1:15" ht="15" customHeight="1">
      <c r="A8" s="9" t="s">
        <v>18</v>
      </c>
      <c r="B8" s="28" t="s">
        <v>141</v>
      </c>
      <c r="C8" s="1">
        <v>5</v>
      </c>
      <c r="D8">
        <f>C8</f>
        <v>5</v>
      </c>
      <c r="E8" t="str">
        <f t="array" ref="E8">_xlfn.IFS(J8="","",J8="VERDADEIRO","Num",J8&lt;&gt;"VERDADEIRO","Alfa")</f>
        <v>Num</v>
      </c>
      <c r="F8">
        <f t="shared" si="0"/>
        <v>1</v>
      </c>
      <c r="G8" s="4" t="str">
        <f>IF(SUM($F$6:F8)=M8,"ok","nok")</f>
        <v>ok</v>
      </c>
      <c r="H8" t="b">
        <f t="shared" si="1"/>
        <v>1</v>
      </c>
      <c r="I8" t="b">
        <f t="shared" si="2"/>
        <v>1</v>
      </c>
      <c r="J8" t="str">
        <f t="shared" si="3"/>
        <v>VERDADEIRO</v>
      </c>
      <c r="K8" s="28" t="s">
        <v>141</v>
      </c>
      <c r="L8" s="29">
        <v>8</v>
      </c>
      <c r="M8" s="29">
        <v>8</v>
      </c>
      <c r="N8" s="29">
        <v>1</v>
      </c>
      <c r="O8" s="28" t="s">
        <v>15</v>
      </c>
    </row>
    <row r="9" spans="1:15" ht="15" customHeight="1">
      <c r="A9" s="9" t="s">
        <v>142</v>
      </c>
      <c r="B9" s="28" t="s">
        <v>21</v>
      </c>
      <c r="C9" s="1" t="s">
        <v>196</v>
      </c>
      <c r="D9" t="str">
        <f>LEFT(C9&amp;"                    ",9)</f>
        <v xml:space="preserve">         </v>
      </c>
      <c r="E9" t="str">
        <f t="array" ref="E9">_xlfn.IFS(J9="","",J9="VERDADEIRO","Num",J9&lt;&gt;"VERDADEIRO","Alfa")</f>
        <v>Alfa</v>
      </c>
      <c r="F9">
        <f t="shared" si="0"/>
        <v>9</v>
      </c>
      <c r="G9" s="4" t="str">
        <f>IF(SUM($F$6:F9)=M9,"ok","nok")</f>
        <v>ok</v>
      </c>
      <c r="H9" t="b">
        <f t="shared" si="1"/>
        <v>1</v>
      </c>
      <c r="I9" t="b">
        <f t="shared" si="2"/>
        <v>0</v>
      </c>
      <c r="J9" t="str">
        <f t="shared" si="3"/>
        <v>FALSO</v>
      </c>
      <c r="K9" s="28" t="s">
        <v>21</v>
      </c>
      <c r="L9" s="29">
        <v>9</v>
      </c>
      <c r="M9" s="29">
        <v>17</v>
      </c>
      <c r="N9" s="29">
        <v>9</v>
      </c>
      <c r="O9" s="28" t="s">
        <v>22</v>
      </c>
    </row>
    <row r="10" spans="1:15" ht="15" customHeight="1">
      <c r="A10" s="9" t="s">
        <v>143</v>
      </c>
      <c r="B10" s="33"/>
      <c r="C10">
        <f>(Registros!F1*2)+2</f>
        <v>22</v>
      </c>
      <c r="D10" t="str">
        <f>TEXT(C10,"000000")</f>
        <v>000022</v>
      </c>
      <c r="E10" t="str">
        <f t="array" ref="E10">_xlfn.IFS(J10="","",J10="VERDADEIRO","Num",J10&lt;&gt;"VERDADEIRO","Alfa")</f>
        <v>Num</v>
      </c>
      <c r="F10">
        <f t="shared" si="0"/>
        <v>6</v>
      </c>
      <c r="G10" s="4" t="str">
        <f>IF(SUM($F$6:F10)=M10,"ok","nok")</f>
        <v>ok</v>
      </c>
      <c r="H10" t="b">
        <f t="shared" si="1"/>
        <v>1</v>
      </c>
      <c r="I10" t="b">
        <f t="shared" si="2"/>
        <v>1</v>
      </c>
      <c r="J10" t="str">
        <f t="shared" si="3"/>
        <v>VERDADEIRO</v>
      </c>
      <c r="K10" s="33"/>
      <c r="L10" s="29">
        <v>18</v>
      </c>
      <c r="M10" s="29">
        <v>23</v>
      </c>
      <c r="N10" s="29">
        <v>6</v>
      </c>
      <c r="O10" s="28" t="s">
        <v>15</v>
      </c>
    </row>
    <row r="11" spans="1:15" ht="15" customHeight="1">
      <c r="A11" s="9" t="s">
        <v>144</v>
      </c>
      <c r="B11" s="37" t="s">
        <v>162</v>
      </c>
      <c r="C11">
        <f>SUM(Registros!I:I)</f>
        <v>33351.25</v>
      </c>
      <c r="D11" t="str">
        <f>TEXT(C11*100,"000000000000000000")</f>
        <v>000000000003335125</v>
      </c>
      <c r="E11" t="str">
        <f t="array" ref="E11">_xlfn.IFS(J11="","",J11="VERDADEIRO","Num",J11&lt;&gt;"VERDADEIRO","Alfa")</f>
        <v>Num</v>
      </c>
      <c r="F11">
        <f t="shared" si="0"/>
        <v>18</v>
      </c>
      <c r="G11" s="4" t="str">
        <f>IF(SUM($F$6:F11)=M11,"ok","nok")</f>
        <v>ok</v>
      </c>
      <c r="H11" t="b">
        <f t="shared" si="1"/>
        <v>0</v>
      </c>
      <c r="I11" t="b">
        <f t="shared" si="2"/>
        <v>1</v>
      </c>
      <c r="J11" t="str">
        <f t="shared" si="3"/>
        <v>VERDADEIRO</v>
      </c>
      <c r="K11" s="37" t="s">
        <v>162</v>
      </c>
      <c r="L11" s="29">
        <v>24</v>
      </c>
      <c r="M11" s="29">
        <v>41</v>
      </c>
      <c r="N11" s="29">
        <v>16</v>
      </c>
      <c r="O11" s="28" t="s">
        <v>15</v>
      </c>
    </row>
    <row r="12" spans="1:15" ht="15" customHeight="1">
      <c r="A12" s="9" t="s">
        <v>145</v>
      </c>
      <c r="B12" s="28" t="s">
        <v>146</v>
      </c>
      <c r="C12" s="1">
        <v>0</v>
      </c>
      <c r="D12" t="str">
        <f>TEXT(C12,"000000000000000000")</f>
        <v>000000000000000000</v>
      </c>
      <c r="E12" t="str">
        <f t="array" ref="E12">_xlfn.IFS(J12="","",J12="VERDADEIRO","Num",J12&lt;&gt;"VERDADEIRO","Alfa")</f>
        <v>Num</v>
      </c>
      <c r="F12">
        <f>IF(LEN(D12)=0,"",LEN(D12))</f>
        <v>18</v>
      </c>
      <c r="G12" s="4" t="str">
        <f>IF(SUM($F$6:F12)=M12,"ok","nok")</f>
        <v>ok</v>
      </c>
      <c r="H12" t="b">
        <f>IF(F12="","",F12=N12)</f>
        <v>0</v>
      </c>
      <c r="I12" t="b">
        <f t="shared" si="2"/>
        <v>1</v>
      </c>
      <c r="J12" t="str">
        <f t="shared" si="3"/>
        <v>VERDADEIRO</v>
      </c>
      <c r="K12" s="28" t="s">
        <v>146</v>
      </c>
      <c r="L12" s="29">
        <v>42</v>
      </c>
      <c r="M12" s="29">
        <v>59</v>
      </c>
      <c r="N12" s="29">
        <v>13</v>
      </c>
      <c r="O12" s="28" t="s">
        <v>15</v>
      </c>
    </row>
    <row r="13" spans="1:15">
      <c r="A13" s="9" t="s">
        <v>147</v>
      </c>
      <c r="B13" s="34"/>
      <c r="C13" s="1">
        <v>0</v>
      </c>
      <c r="D13" t="str">
        <f>TEXT(C13,"000000")</f>
        <v>000000</v>
      </c>
      <c r="E13" t="str">
        <f t="array" ref="E13">_xlfn.IFS(J13="","",J13="VERDADEIRO","Num",J13&lt;&gt;"VERDADEIRO","Alfa")</f>
        <v>Num</v>
      </c>
      <c r="F13">
        <f>IF(LEN(D13)=0,"",LEN(D13))</f>
        <v>6</v>
      </c>
      <c r="G13" s="4" t="str">
        <f>IF(SUM($F$6:F13)=M13,"ok","nok")</f>
        <v>ok</v>
      </c>
      <c r="H13" t="b">
        <f>IF(F13="","",F13=N13)</f>
        <v>1</v>
      </c>
      <c r="I13" t="b">
        <f t="shared" si="2"/>
        <v>1</v>
      </c>
      <c r="J13" t="str">
        <f t="shared" si="3"/>
        <v>VERDADEIRO</v>
      </c>
      <c r="K13" s="34"/>
      <c r="L13" s="29">
        <v>60</v>
      </c>
      <c r="M13" s="29">
        <v>65</v>
      </c>
      <c r="N13" s="29">
        <v>6</v>
      </c>
      <c r="O13" s="28" t="s">
        <v>15</v>
      </c>
    </row>
    <row r="14" spans="1:15">
      <c r="A14" s="9" t="s">
        <v>142</v>
      </c>
      <c r="B14" s="28" t="s">
        <v>21</v>
      </c>
      <c r="C14" s="1" t="s">
        <v>195</v>
      </c>
      <c r="D14" t="str">
        <f>LEFT(C14&amp;"                    ",165)</f>
        <v xml:space="preserve">                                                                                                                                                                     </v>
      </c>
      <c r="E14" t="str">
        <f t="array" ref="E14">_xlfn.IFS(J14="","",J14="VERDADEIRO","Num",J14&lt;&gt;"VERDADEIRO","Alfa")</f>
        <v>Alfa</v>
      </c>
      <c r="F14">
        <f>IF(LEN(D14)=0,"",LEN(D14))</f>
        <v>165</v>
      </c>
      <c r="G14" s="4" t="str">
        <f>IF(SUM($F$6:F14)=M14,"ok","nok")</f>
        <v>ok</v>
      </c>
      <c r="H14" t="b">
        <f>IF(F14="","",F14=N14)</f>
        <v>1</v>
      </c>
      <c r="I14" t="b">
        <f t="shared" si="2"/>
        <v>0</v>
      </c>
      <c r="J14" t="str">
        <f t="shared" si="3"/>
        <v>FALSO</v>
      </c>
      <c r="K14" s="28" t="s">
        <v>21</v>
      </c>
      <c r="L14" s="29">
        <v>66</v>
      </c>
      <c r="M14" s="29">
        <v>230</v>
      </c>
      <c r="N14" s="29">
        <v>165</v>
      </c>
      <c r="O14" s="28" t="s">
        <v>22</v>
      </c>
    </row>
    <row r="15" spans="1:15" ht="25.5">
      <c r="A15" s="9" t="s">
        <v>148</v>
      </c>
      <c r="B15" s="28" t="s">
        <v>21</v>
      </c>
      <c r="C15" s="1" t="s">
        <v>195</v>
      </c>
      <c r="D15" t="str">
        <f>LEFT(C15&amp;"                    ",10)</f>
        <v xml:space="preserve">          </v>
      </c>
      <c r="E15" t="str">
        <f t="array" ref="E15">_xlfn.IFS(J15="","",J15="VERDADEIRO","Num",J15&lt;&gt;"VERDADEIRO","Alfa")</f>
        <v>Alfa</v>
      </c>
      <c r="F15">
        <f>IF(LEN(D15)=0,"",LEN(D15))</f>
        <v>10</v>
      </c>
      <c r="G15" s="4" t="str">
        <f>IF(SUM($F$6:F15)=M15,"ok","nok")</f>
        <v>ok</v>
      </c>
      <c r="H15" t="b">
        <f>IF(F15="","",F15=N15)</f>
        <v>1</v>
      </c>
      <c r="I15" t="b">
        <f t="shared" si="2"/>
        <v>0</v>
      </c>
      <c r="J15" t="str">
        <f t="shared" si="3"/>
        <v>FALSO</v>
      </c>
      <c r="K15" s="28" t="s">
        <v>21</v>
      </c>
      <c r="L15" s="29">
        <v>231</v>
      </c>
      <c r="M15" s="29">
        <v>240</v>
      </c>
      <c r="N15" s="29">
        <v>10</v>
      </c>
      <c r="O15" s="28" t="s">
        <v>22</v>
      </c>
    </row>
  </sheetData>
  <mergeCells count="3">
    <mergeCell ref="L4:M4"/>
    <mergeCell ref="G4:G5"/>
    <mergeCell ref="F4:F5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FF76-14BD-4562-A0CD-CB6FCB537027}">
  <sheetPr codeName="Planilha9"/>
  <dimension ref="A1:O13"/>
  <sheetViews>
    <sheetView workbookViewId="0">
      <selection activeCell="D12" sqref="D12"/>
    </sheetView>
  </sheetViews>
  <sheetFormatPr defaultRowHeight="15"/>
  <cols>
    <col min="1" max="1" width="51.28515625" bestFit="1" customWidth="1"/>
    <col min="2" max="2" width="8.7109375" bestFit="1" customWidth="1"/>
    <col min="3" max="3" width="40.7109375" bestFit="1" customWidth="1"/>
    <col min="4" max="4" width="24.140625" customWidth="1"/>
    <col min="5" max="5" width="4.5703125" customWidth="1"/>
    <col min="6" max="6" width="13.85546875" bestFit="1" customWidth="1"/>
    <col min="7" max="7" width="8.5703125" bestFit="1" customWidth="1"/>
    <col min="11" max="11" width="22.85546875" customWidth="1"/>
    <col min="12" max="12" width="5.7109375" customWidth="1"/>
    <col min="13" max="13" width="6.85546875" customWidth="1"/>
    <col min="14" max="15" width="16.28515625" bestFit="1" customWidth="1"/>
  </cols>
  <sheetData>
    <row r="1" spans="1:15">
      <c r="A1" s="5" t="s">
        <v>197</v>
      </c>
    </row>
    <row r="2" spans="1:15">
      <c r="A2" s="9" t="str">
        <f>_xlfn.CONCAT(D6:D13)</f>
        <v xml:space="preserve">07799999         000001000024000001                                                                                                                                                                                                             </v>
      </c>
      <c r="B2" s="5">
        <f>LEN(A2)</f>
        <v>240</v>
      </c>
    </row>
    <row r="3" spans="1:15" ht="15" customHeight="1"/>
    <row r="4" spans="1:15" ht="15" customHeight="1">
      <c r="A4" s="14" t="s">
        <v>6</v>
      </c>
      <c r="B4" s="14" t="s">
        <v>7</v>
      </c>
      <c r="C4" s="41" t="s">
        <v>7</v>
      </c>
      <c r="E4" s="14" t="s">
        <v>10</v>
      </c>
      <c r="F4" s="81" t="s">
        <v>9</v>
      </c>
      <c r="G4" s="85" t="s">
        <v>160</v>
      </c>
      <c r="H4" s="39" t="s">
        <v>167</v>
      </c>
      <c r="K4" s="14" t="s">
        <v>7</v>
      </c>
      <c r="L4" s="51" t="s">
        <v>8</v>
      </c>
      <c r="M4" s="52"/>
      <c r="N4" s="14" t="s">
        <v>9</v>
      </c>
      <c r="O4" s="14" t="s">
        <v>10</v>
      </c>
    </row>
    <row r="5" spans="1:15" ht="15" customHeight="1">
      <c r="A5" s="15"/>
      <c r="B5" s="15"/>
      <c r="C5" s="42"/>
      <c r="E5" s="15"/>
      <c r="F5" s="82"/>
      <c r="G5" s="86"/>
      <c r="H5" s="40"/>
      <c r="K5" s="15"/>
      <c r="L5" s="7" t="s">
        <v>11</v>
      </c>
      <c r="M5" s="7" t="s">
        <v>12</v>
      </c>
      <c r="N5" s="15"/>
      <c r="O5" s="15"/>
    </row>
    <row r="6" spans="1:15" ht="15" customHeight="1">
      <c r="A6" s="9" t="s">
        <v>13</v>
      </c>
      <c r="B6" s="9" t="s">
        <v>14</v>
      </c>
      <c r="C6">
        <v>77</v>
      </c>
      <c r="D6" t="str">
        <f>TEXT(C6,"000")</f>
        <v>077</v>
      </c>
      <c r="E6" t="str">
        <f>_xlfn.IFS(J6="","",J6="VERDADEIRO","Num",J6&lt;&gt;"VERDADEIRO","Alfa")</f>
        <v>Num</v>
      </c>
      <c r="F6">
        <f t="shared" ref="F6:F13" si="0">IF(LEN(D6)=0,"",LEN(D6))</f>
        <v>3</v>
      </c>
      <c r="G6" s="4" t="str">
        <f>IF(F6=M6,"ok",nok)</f>
        <v>ok</v>
      </c>
      <c r="H6" t="b">
        <f t="shared" ref="H6:H13" si="1">IF(F6="","",F6=N6)</f>
        <v>1</v>
      </c>
      <c r="I6" t="b">
        <f>IF(C6="","",(ISNUMBER(C6)))</f>
        <v>1</v>
      </c>
      <c r="J6" t="str">
        <f>TRIM(I6)</f>
        <v>VERDADEIRO</v>
      </c>
      <c r="K6" s="9" t="s">
        <v>14</v>
      </c>
      <c r="L6" s="10">
        <v>1</v>
      </c>
      <c r="M6" s="10">
        <v>3</v>
      </c>
      <c r="N6" s="10">
        <v>3</v>
      </c>
      <c r="O6" s="9" t="s">
        <v>15</v>
      </c>
    </row>
    <row r="7" spans="1:15" ht="15" customHeight="1">
      <c r="A7" s="9" t="s">
        <v>16</v>
      </c>
      <c r="B7" s="9" t="s">
        <v>149</v>
      </c>
      <c r="C7">
        <v>9999</v>
      </c>
      <c r="D7" t="str">
        <f>TEXT(C7,"0000")</f>
        <v>9999</v>
      </c>
      <c r="E7" t="str">
        <f t="array" ref="E7">_xlfn.IFS(J7="","",J7="VERDADEIRO","Num",J7&lt;&gt;"VERDADEIRO","Alfa")</f>
        <v>Num</v>
      </c>
      <c r="F7">
        <f t="shared" si="0"/>
        <v>4</v>
      </c>
      <c r="G7" s="4" t="str">
        <f>IF(SUM($F$6:F7)=M7,"ok","nok")</f>
        <v>ok</v>
      </c>
      <c r="H7" t="b">
        <f t="shared" si="1"/>
        <v>1</v>
      </c>
      <c r="I7" t="b">
        <f t="shared" ref="I7:I13" si="2">IF(C7="","",(ISNUMBER(C7)))</f>
        <v>1</v>
      </c>
      <c r="J7" t="str">
        <f t="shared" ref="J7:J13" si="3">TRIM(I7)</f>
        <v>VERDADEIRO</v>
      </c>
      <c r="K7" s="9" t="s">
        <v>149</v>
      </c>
      <c r="L7" s="10">
        <v>4</v>
      </c>
      <c r="M7" s="10">
        <v>7</v>
      </c>
      <c r="N7" s="10">
        <v>4</v>
      </c>
      <c r="O7" s="9" t="s">
        <v>15</v>
      </c>
    </row>
    <row r="8" spans="1:15" ht="15" customHeight="1">
      <c r="A8" s="9" t="s">
        <v>18</v>
      </c>
      <c r="B8" s="9" t="s">
        <v>30</v>
      </c>
      <c r="C8" s="1">
        <v>9</v>
      </c>
      <c r="D8">
        <f>C8</f>
        <v>9</v>
      </c>
      <c r="E8" t="str">
        <f t="array" ref="E8">_xlfn.IFS(J8="","",J8="VERDADEIRO","Num",J8&lt;&gt;"VERDADEIRO","Alfa")</f>
        <v>Num</v>
      </c>
      <c r="F8">
        <f t="shared" si="0"/>
        <v>1</v>
      </c>
      <c r="G8" s="4" t="str">
        <f>IF(SUM($F$6:F8)=M8,"ok","nok")</f>
        <v>ok</v>
      </c>
      <c r="H8" t="b">
        <f t="shared" si="1"/>
        <v>1</v>
      </c>
      <c r="I8" t="b">
        <f t="shared" si="2"/>
        <v>1</v>
      </c>
      <c r="J8" t="str">
        <f t="shared" si="3"/>
        <v>VERDADEIRO</v>
      </c>
      <c r="K8" s="9" t="s">
        <v>30</v>
      </c>
      <c r="L8" s="10">
        <v>8</v>
      </c>
      <c r="M8" s="10">
        <v>8</v>
      </c>
      <c r="N8" s="10">
        <v>1</v>
      </c>
      <c r="O8" s="9" t="s">
        <v>15</v>
      </c>
    </row>
    <row r="9" spans="1:15" ht="15" customHeight="1">
      <c r="A9" s="9" t="s">
        <v>142</v>
      </c>
      <c r="B9" s="9" t="s">
        <v>21</v>
      </c>
      <c r="C9" s="1" t="s">
        <v>183</v>
      </c>
      <c r="D9" t="str">
        <f>LEFT(C9&amp;"                    ",9)</f>
        <v xml:space="preserve">         </v>
      </c>
      <c r="E9" t="str">
        <f t="array" ref="E9">_xlfn.IFS(J9="","",J9="VERDADEIRO","Num",J9&lt;&gt;"VERDADEIRO","Alfa")</f>
        <v>Alfa</v>
      </c>
      <c r="F9">
        <f t="shared" si="0"/>
        <v>9</v>
      </c>
      <c r="G9" s="4" t="str">
        <f>IF(SUM($F$6:F9)=M9,"ok","nok")</f>
        <v>ok</v>
      </c>
      <c r="H9" t="b">
        <f t="shared" si="1"/>
        <v>1</v>
      </c>
      <c r="I9" t="b">
        <f t="shared" si="2"/>
        <v>0</v>
      </c>
      <c r="J9" t="str">
        <f t="shared" si="3"/>
        <v>FALSO</v>
      </c>
      <c r="K9" s="9" t="s">
        <v>21</v>
      </c>
      <c r="L9" s="10">
        <v>9</v>
      </c>
      <c r="M9" s="10">
        <v>17</v>
      </c>
      <c r="N9" s="10">
        <v>9</v>
      </c>
      <c r="O9" s="9" t="s">
        <v>22</v>
      </c>
    </row>
    <row r="10" spans="1:15" ht="15" customHeight="1">
      <c r="A10" s="9" t="s">
        <v>150</v>
      </c>
      <c r="B10" s="11"/>
      <c r="C10">
        <v>1</v>
      </c>
      <c r="D10" t="str">
        <f>TEXT(C10,"000000")</f>
        <v>000001</v>
      </c>
      <c r="E10" t="str">
        <f t="array" ref="E10">_xlfn.IFS(J10="","",J10="VERDADEIRO","Num",J10&lt;&gt;"VERDADEIRO","Alfa")</f>
        <v>Num</v>
      </c>
      <c r="F10">
        <f t="shared" si="0"/>
        <v>6</v>
      </c>
      <c r="G10" s="4" t="str">
        <f>IF(SUM($F$6:F10)=M10,"ok","nok")</f>
        <v>ok</v>
      </c>
      <c r="H10" t="b">
        <f t="shared" si="1"/>
        <v>1</v>
      </c>
      <c r="I10" t="b">
        <f t="shared" si="2"/>
        <v>1</v>
      </c>
      <c r="J10" t="str">
        <f t="shared" si="3"/>
        <v>VERDADEIRO</v>
      </c>
      <c r="K10" s="11"/>
      <c r="L10" s="10">
        <v>18</v>
      </c>
      <c r="M10" s="10">
        <v>23</v>
      </c>
      <c r="N10" s="10">
        <v>6</v>
      </c>
      <c r="O10" s="9" t="s">
        <v>15</v>
      </c>
    </row>
    <row r="11" spans="1:15">
      <c r="A11" s="9" t="s">
        <v>151</v>
      </c>
      <c r="B11" s="17"/>
      <c r="C11">
        <f>'Trailer Lote'!C10+2</f>
        <v>24</v>
      </c>
      <c r="D11" t="str">
        <f>TEXT(C11,"000000")</f>
        <v>000024</v>
      </c>
      <c r="E11" t="str">
        <f t="array" ref="E11">_xlfn.IFS(J11="","",J11="VERDADEIRO","Num",J11&lt;&gt;"VERDADEIRO","Alfa")</f>
        <v>Num</v>
      </c>
      <c r="F11">
        <f t="shared" si="0"/>
        <v>6</v>
      </c>
      <c r="G11" s="4" t="str">
        <f>IF(SUM($F$6:F11)=M11,"ok","nok")</f>
        <v>ok</v>
      </c>
      <c r="H11" t="b">
        <f t="shared" si="1"/>
        <v>1</v>
      </c>
      <c r="I11" t="b">
        <f t="shared" si="2"/>
        <v>1</v>
      </c>
      <c r="J11" t="str">
        <f t="shared" si="3"/>
        <v>VERDADEIRO</v>
      </c>
      <c r="K11" s="17"/>
      <c r="L11" s="10">
        <v>24</v>
      </c>
      <c r="M11" s="10">
        <v>29</v>
      </c>
      <c r="N11" s="10">
        <v>6</v>
      </c>
      <c r="O11" s="9" t="s">
        <v>15</v>
      </c>
    </row>
    <row r="12" spans="1:15">
      <c r="A12" s="9" t="s">
        <v>152</v>
      </c>
      <c r="B12" s="17"/>
      <c r="C12">
        <v>1</v>
      </c>
      <c r="D12" t="str">
        <f>TEXT(C12,"000000")</f>
        <v>000001</v>
      </c>
      <c r="E12" t="str">
        <f t="array" ref="E12">_xlfn.IFS(J12="","",J12="VERDADEIRO","Num",J12&lt;&gt;"VERDADEIRO","Alfa")</f>
        <v>Num</v>
      </c>
      <c r="F12">
        <f t="shared" si="0"/>
        <v>6</v>
      </c>
      <c r="G12" s="4" t="str">
        <f>IF(SUM($F$6:F12)=M12,"ok","nok")</f>
        <v>ok</v>
      </c>
      <c r="H12" t="b">
        <f t="shared" si="1"/>
        <v>1</v>
      </c>
      <c r="I12" t="b">
        <f t="shared" si="2"/>
        <v>1</v>
      </c>
      <c r="J12" t="str">
        <f t="shared" si="3"/>
        <v>VERDADEIRO</v>
      </c>
      <c r="K12" s="17"/>
      <c r="L12" s="10">
        <v>30</v>
      </c>
      <c r="M12" s="10">
        <v>35</v>
      </c>
      <c r="N12" s="10">
        <v>6</v>
      </c>
      <c r="O12" s="9" t="s">
        <v>15</v>
      </c>
    </row>
    <row r="13" spans="1:15">
      <c r="A13" s="9" t="s">
        <v>142</v>
      </c>
      <c r="B13" s="9" t="s">
        <v>21</v>
      </c>
      <c r="C13" s="1" t="s">
        <v>199</v>
      </c>
      <c r="D13" t="str">
        <f>LEFT(C13&amp;"                    ",205)</f>
        <v xml:space="preserve">                                                                                                                                                                                                             </v>
      </c>
      <c r="E13" t="str">
        <f t="array" ref="E13">_xlfn.IFS(J13="","",J13="VERDADEIRO","Num",J13&lt;&gt;"VERDADEIRO","Alfa")</f>
        <v>Alfa</v>
      </c>
      <c r="F13">
        <f t="shared" si="0"/>
        <v>205</v>
      </c>
      <c r="G13" s="4" t="str">
        <f>IF(SUM($F$6:F13)=M13,"ok","nok")</f>
        <v>ok</v>
      </c>
      <c r="H13" t="b">
        <f t="shared" si="1"/>
        <v>1</v>
      </c>
      <c r="I13" t="b">
        <f t="shared" si="2"/>
        <v>0</v>
      </c>
      <c r="J13" t="str">
        <f t="shared" si="3"/>
        <v>FALSO</v>
      </c>
      <c r="K13" s="9" t="s">
        <v>21</v>
      </c>
      <c r="L13" s="10">
        <v>36</v>
      </c>
      <c r="M13" s="10">
        <v>240</v>
      </c>
      <c r="N13" s="10">
        <v>205</v>
      </c>
      <c r="O13" s="9" t="s">
        <v>22</v>
      </c>
    </row>
  </sheetData>
  <mergeCells count="2">
    <mergeCell ref="F4:F5"/>
    <mergeCell ref="G4:G5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71727-4368-43FE-8B93-80F9C2692265}">
  <sheetPr codeName="Planilha11"/>
  <dimension ref="A1:B912"/>
  <sheetViews>
    <sheetView workbookViewId="0">
      <selection activeCell="B100" sqref="B100"/>
    </sheetView>
  </sheetViews>
  <sheetFormatPr defaultRowHeight="15"/>
  <cols>
    <col min="1" max="1" width="186.140625" bestFit="1" customWidth="1"/>
  </cols>
  <sheetData>
    <row r="1" spans="1:2">
      <c r="A1" t="s">
        <v>1070</v>
      </c>
      <c r="B1">
        <f>LEN(A1)</f>
        <v>240</v>
      </c>
    </row>
    <row r="2" spans="1:2">
      <c r="A2" t="s">
        <v>1068</v>
      </c>
      <c r="B2">
        <f t="shared" ref="B2:B65" si="0">LEN(A2)</f>
        <v>240</v>
      </c>
    </row>
    <row r="3" spans="1:2">
      <c r="A3" s="1" t="s">
        <v>1047</v>
      </c>
      <c r="B3">
        <f t="shared" si="0"/>
        <v>240</v>
      </c>
    </row>
    <row r="4" spans="1:2">
      <c r="A4" s="1" t="s">
        <v>1048</v>
      </c>
      <c r="B4">
        <f t="shared" si="0"/>
        <v>240</v>
      </c>
    </row>
    <row r="5" spans="1:2">
      <c r="A5" s="1" t="s">
        <v>1049</v>
      </c>
      <c r="B5">
        <f t="shared" si="0"/>
        <v>240</v>
      </c>
    </row>
    <row r="6" spans="1:2">
      <c r="A6" s="1" t="s">
        <v>1050</v>
      </c>
      <c r="B6">
        <f t="shared" si="0"/>
        <v>240</v>
      </c>
    </row>
    <row r="7" spans="1:2">
      <c r="A7" s="1" t="s">
        <v>1051</v>
      </c>
      <c r="B7">
        <f t="shared" si="0"/>
        <v>240</v>
      </c>
    </row>
    <row r="8" spans="1:2">
      <c r="A8" s="1" t="s">
        <v>1052</v>
      </c>
      <c r="B8">
        <f t="shared" si="0"/>
        <v>240</v>
      </c>
    </row>
    <row r="9" spans="1:2">
      <c r="A9" s="1" t="s">
        <v>1053</v>
      </c>
      <c r="B9">
        <f t="shared" si="0"/>
        <v>240</v>
      </c>
    </row>
    <row r="10" spans="1:2">
      <c r="A10" s="1" t="s">
        <v>1054</v>
      </c>
      <c r="B10">
        <f t="shared" si="0"/>
        <v>240</v>
      </c>
    </row>
    <row r="11" spans="1:2">
      <c r="A11" s="1" t="s">
        <v>1055</v>
      </c>
      <c r="B11">
        <f t="shared" si="0"/>
        <v>240</v>
      </c>
    </row>
    <row r="12" spans="1:2">
      <c r="A12" s="1" t="s">
        <v>1056</v>
      </c>
      <c r="B12">
        <f t="shared" si="0"/>
        <v>240</v>
      </c>
    </row>
    <row r="13" spans="1:2">
      <c r="A13" s="1" t="s">
        <v>1057</v>
      </c>
      <c r="B13">
        <f t="shared" si="0"/>
        <v>240</v>
      </c>
    </row>
    <row r="14" spans="1:2">
      <c r="A14" s="1" t="s">
        <v>1058</v>
      </c>
      <c r="B14">
        <f t="shared" si="0"/>
        <v>240</v>
      </c>
    </row>
    <row r="15" spans="1:2">
      <c r="A15" s="1" t="s">
        <v>1059</v>
      </c>
      <c r="B15">
        <f t="shared" si="0"/>
        <v>240</v>
      </c>
    </row>
    <row r="16" spans="1:2">
      <c r="A16" s="1" t="s">
        <v>1060</v>
      </c>
      <c r="B16">
        <f t="shared" si="0"/>
        <v>240</v>
      </c>
    </row>
    <row r="17" spans="1:2">
      <c r="A17" s="1" t="s">
        <v>1061</v>
      </c>
      <c r="B17">
        <f t="shared" si="0"/>
        <v>240</v>
      </c>
    </row>
    <row r="18" spans="1:2">
      <c r="A18" s="1" t="s">
        <v>1062</v>
      </c>
      <c r="B18">
        <f t="shared" si="0"/>
        <v>240</v>
      </c>
    </row>
    <row r="19" spans="1:2">
      <c r="A19" s="1" t="s">
        <v>1063</v>
      </c>
      <c r="B19">
        <f t="shared" si="0"/>
        <v>240</v>
      </c>
    </row>
    <row r="20" spans="1:2">
      <c r="A20" s="1" t="s">
        <v>1064</v>
      </c>
      <c r="B20">
        <f t="shared" si="0"/>
        <v>240</v>
      </c>
    </row>
    <row r="21" spans="1:2">
      <c r="A21" s="1" t="s">
        <v>1065</v>
      </c>
      <c r="B21">
        <f t="shared" si="0"/>
        <v>240</v>
      </c>
    </row>
    <row r="22" spans="1:2">
      <c r="A22" s="1" t="s">
        <v>1066</v>
      </c>
      <c r="B22">
        <f t="shared" si="0"/>
        <v>240</v>
      </c>
    </row>
    <row r="23" spans="1:2">
      <c r="A23" s="1" t="s">
        <v>1069</v>
      </c>
      <c r="B23">
        <f t="shared" si="0"/>
        <v>240</v>
      </c>
    </row>
    <row r="24" spans="1:2">
      <c r="A24" s="1" t="s">
        <v>1067</v>
      </c>
      <c r="B24">
        <f t="shared" si="0"/>
        <v>240</v>
      </c>
    </row>
    <row r="25" spans="1:2">
      <c r="A25" s="1"/>
      <c r="B25">
        <f t="shared" si="0"/>
        <v>0</v>
      </c>
    </row>
    <row r="26" spans="1:2">
      <c r="A26" s="1"/>
      <c r="B26">
        <f t="shared" si="0"/>
        <v>0</v>
      </c>
    </row>
    <row r="27" spans="1:2">
      <c r="A27" s="1"/>
      <c r="B27">
        <f t="shared" si="0"/>
        <v>0</v>
      </c>
    </row>
    <row r="28" spans="1:2">
      <c r="A28" s="1"/>
      <c r="B28">
        <f t="shared" si="0"/>
        <v>0</v>
      </c>
    </row>
    <row r="29" spans="1:2">
      <c r="A29" s="1"/>
      <c r="B29">
        <f t="shared" si="0"/>
        <v>0</v>
      </c>
    </row>
    <row r="30" spans="1:2">
      <c r="A30" s="1"/>
      <c r="B30">
        <f t="shared" si="0"/>
        <v>0</v>
      </c>
    </row>
    <row r="31" spans="1:2">
      <c r="A31" s="1"/>
      <c r="B31">
        <f t="shared" si="0"/>
        <v>0</v>
      </c>
    </row>
    <row r="32" spans="1:2">
      <c r="A32" s="1"/>
      <c r="B32">
        <f t="shared" si="0"/>
        <v>0</v>
      </c>
    </row>
    <row r="33" spans="1:2">
      <c r="A33" s="1"/>
      <c r="B33">
        <f t="shared" si="0"/>
        <v>0</v>
      </c>
    </row>
    <row r="34" spans="1:2">
      <c r="A34" s="1"/>
      <c r="B34">
        <f t="shared" si="0"/>
        <v>0</v>
      </c>
    </row>
    <row r="35" spans="1:2">
      <c r="A35" s="1"/>
      <c r="B35">
        <f t="shared" si="0"/>
        <v>0</v>
      </c>
    </row>
    <row r="36" spans="1:2">
      <c r="A36" s="1"/>
      <c r="B36">
        <f t="shared" si="0"/>
        <v>0</v>
      </c>
    </row>
    <row r="37" spans="1:2">
      <c r="B37">
        <f t="shared" si="0"/>
        <v>0</v>
      </c>
    </row>
    <row r="38" spans="1:2">
      <c r="B38">
        <f t="shared" si="0"/>
        <v>0</v>
      </c>
    </row>
    <row r="39" spans="1:2">
      <c r="B39">
        <f t="shared" si="0"/>
        <v>0</v>
      </c>
    </row>
    <row r="40" spans="1:2">
      <c r="B40">
        <f t="shared" si="0"/>
        <v>0</v>
      </c>
    </row>
    <row r="41" spans="1:2">
      <c r="B41">
        <f t="shared" si="0"/>
        <v>0</v>
      </c>
    </row>
    <row r="42" spans="1:2">
      <c r="B42">
        <f t="shared" si="0"/>
        <v>0</v>
      </c>
    </row>
    <row r="43" spans="1:2">
      <c r="B43">
        <f t="shared" si="0"/>
        <v>0</v>
      </c>
    </row>
    <row r="44" spans="1:2">
      <c r="B44">
        <f t="shared" si="0"/>
        <v>0</v>
      </c>
    </row>
    <row r="45" spans="1:2">
      <c r="B45">
        <f t="shared" si="0"/>
        <v>0</v>
      </c>
    </row>
    <row r="46" spans="1:2">
      <c r="B46">
        <f t="shared" si="0"/>
        <v>0</v>
      </c>
    </row>
    <row r="47" spans="1:2">
      <c r="B47">
        <f t="shared" si="0"/>
        <v>0</v>
      </c>
    </row>
    <row r="48" spans="1:2">
      <c r="B48">
        <f t="shared" si="0"/>
        <v>0</v>
      </c>
    </row>
    <row r="49" spans="2:2">
      <c r="B49">
        <f t="shared" si="0"/>
        <v>0</v>
      </c>
    </row>
    <row r="50" spans="2:2">
      <c r="B50">
        <f t="shared" si="0"/>
        <v>0</v>
      </c>
    </row>
    <row r="51" spans="2:2">
      <c r="B51">
        <f t="shared" si="0"/>
        <v>0</v>
      </c>
    </row>
    <row r="52" spans="2:2">
      <c r="B52">
        <f t="shared" si="0"/>
        <v>0</v>
      </c>
    </row>
    <row r="53" spans="2:2">
      <c r="B53">
        <f t="shared" si="0"/>
        <v>0</v>
      </c>
    </row>
    <row r="54" spans="2:2">
      <c r="B54">
        <f t="shared" si="0"/>
        <v>0</v>
      </c>
    </row>
    <row r="55" spans="2:2">
      <c r="B55">
        <f t="shared" si="0"/>
        <v>0</v>
      </c>
    </row>
    <row r="56" spans="2:2">
      <c r="B56">
        <f t="shared" si="0"/>
        <v>0</v>
      </c>
    </row>
    <row r="57" spans="2:2">
      <c r="B57">
        <f t="shared" si="0"/>
        <v>0</v>
      </c>
    </row>
    <row r="58" spans="2:2">
      <c r="B58">
        <f t="shared" si="0"/>
        <v>0</v>
      </c>
    </row>
    <row r="59" spans="2:2">
      <c r="B59">
        <f t="shared" si="0"/>
        <v>0</v>
      </c>
    </row>
    <row r="60" spans="2:2">
      <c r="B60">
        <f t="shared" si="0"/>
        <v>0</v>
      </c>
    </row>
    <row r="61" spans="2:2">
      <c r="B61">
        <f t="shared" si="0"/>
        <v>0</v>
      </c>
    </row>
    <row r="62" spans="2:2">
      <c r="B62">
        <f t="shared" si="0"/>
        <v>0</v>
      </c>
    </row>
    <row r="63" spans="2:2">
      <c r="B63">
        <f t="shared" si="0"/>
        <v>0</v>
      </c>
    </row>
    <row r="64" spans="2:2">
      <c r="B64">
        <f t="shared" si="0"/>
        <v>0</v>
      </c>
    </row>
    <row r="65" spans="2:2">
      <c r="B65">
        <f t="shared" si="0"/>
        <v>0</v>
      </c>
    </row>
    <row r="66" spans="2:2">
      <c r="B66">
        <f t="shared" ref="B66:B129" si="1">LEN(A66)</f>
        <v>0</v>
      </c>
    </row>
    <row r="67" spans="2:2">
      <c r="B67">
        <f t="shared" si="1"/>
        <v>0</v>
      </c>
    </row>
    <row r="68" spans="2:2">
      <c r="B68">
        <f t="shared" si="1"/>
        <v>0</v>
      </c>
    </row>
    <row r="69" spans="2:2">
      <c r="B69">
        <f t="shared" si="1"/>
        <v>0</v>
      </c>
    </row>
    <row r="70" spans="2:2">
      <c r="B70">
        <f t="shared" si="1"/>
        <v>0</v>
      </c>
    </row>
    <row r="71" spans="2:2">
      <c r="B71">
        <f t="shared" si="1"/>
        <v>0</v>
      </c>
    </row>
    <row r="72" spans="2:2">
      <c r="B72">
        <f t="shared" si="1"/>
        <v>0</v>
      </c>
    </row>
    <row r="73" spans="2:2">
      <c r="B73">
        <f t="shared" si="1"/>
        <v>0</v>
      </c>
    </row>
    <row r="74" spans="2:2">
      <c r="B74">
        <f t="shared" si="1"/>
        <v>0</v>
      </c>
    </row>
    <row r="75" spans="2:2">
      <c r="B75">
        <f t="shared" si="1"/>
        <v>0</v>
      </c>
    </row>
    <row r="76" spans="2:2">
      <c r="B76">
        <f t="shared" si="1"/>
        <v>0</v>
      </c>
    </row>
    <row r="77" spans="2:2">
      <c r="B77">
        <f t="shared" si="1"/>
        <v>0</v>
      </c>
    </row>
    <row r="78" spans="2:2">
      <c r="B78">
        <f t="shared" si="1"/>
        <v>0</v>
      </c>
    </row>
    <row r="79" spans="2:2">
      <c r="B79">
        <f t="shared" si="1"/>
        <v>0</v>
      </c>
    </row>
    <row r="80" spans="2:2">
      <c r="B80">
        <f t="shared" si="1"/>
        <v>0</v>
      </c>
    </row>
    <row r="81" spans="2:2">
      <c r="B81">
        <f t="shared" si="1"/>
        <v>0</v>
      </c>
    </row>
    <row r="82" spans="2:2">
      <c r="B82">
        <f t="shared" si="1"/>
        <v>0</v>
      </c>
    </row>
    <row r="83" spans="2:2">
      <c r="B83">
        <f t="shared" si="1"/>
        <v>0</v>
      </c>
    </row>
    <row r="84" spans="2:2">
      <c r="B84">
        <f t="shared" si="1"/>
        <v>0</v>
      </c>
    </row>
    <row r="85" spans="2:2">
      <c r="B85">
        <f t="shared" si="1"/>
        <v>0</v>
      </c>
    </row>
    <row r="86" spans="2:2">
      <c r="B86">
        <f t="shared" si="1"/>
        <v>0</v>
      </c>
    </row>
    <row r="87" spans="2:2">
      <c r="B87">
        <f t="shared" si="1"/>
        <v>0</v>
      </c>
    </row>
    <row r="88" spans="2:2">
      <c r="B88">
        <f t="shared" si="1"/>
        <v>0</v>
      </c>
    </row>
    <row r="89" spans="2:2">
      <c r="B89">
        <f t="shared" si="1"/>
        <v>0</v>
      </c>
    </row>
    <row r="90" spans="2:2">
      <c r="B90">
        <f t="shared" si="1"/>
        <v>0</v>
      </c>
    </row>
    <row r="91" spans="2:2">
      <c r="B91">
        <f t="shared" si="1"/>
        <v>0</v>
      </c>
    </row>
    <row r="92" spans="2:2">
      <c r="B92">
        <f t="shared" si="1"/>
        <v>0</v>
      </c>
    </row>
    <row r="93" spans="2:2">
      <c r="B93">
        <f t="shared" si="1"/>
        <v>0</v>
      </c>
    </row>
    <row r="94" spans="2:2">
      <c r="B94">
        <f t="shared" si="1"/>
        <v>0</v>
      </c>
    </row>
    <row r="95" spans="2:2">
      <c r="B95">
        <f t="shared" si="1"/>
        <v>0</v>
      </c>
    </row>
    <row r="96" spans="2:2">
      <c r="B96">
        <f t="shared" si="1"/>
        <v>0</v>
      </c>
    </row>
    <row r="97" spans="2:2">
      <c r="B97">
        <f t="shared" si="1"/>
        <v>0</v>
      </c>
    </row>
    <row r="98" spans="2:2">
      <c r="B98">
        <f t="shared" si="1"/>
        <v>0</v>
      </c>
    </row>
    <row r="99" spans="2:2">
      <c r="B99">
        <f t="shared" si="1"/>
        <v>0</v>
      </c>
    </row>
    <row r="100" spans="2:2">
      <c r="B100">
        <f t="shared" si="1"/>
        <v>0</v>
      </c>
    </row>
    <row r="101" spans="2:2">
      <c r="B101">
        <f t="shared" si="1"/>
        <v>0</v>
      </c>
    </row>
    <row r="102" spans="2:2">
      <c r="B102">
        <f t="shared" si="1"/>
        <v>0</v>
      </c>
    </row>
    <row r="103" spans="2:2">
      <c r="B103">
        <f t="shared" si="1"/>
        <v>0</v>
      </c>
    </row>
    <row r="104" spans="2:2">
      <c r="B104">
        <f t="shared" si="1"/>
        <v>0</v>
      </c>
    </row>
    <row r="105" spans="2:2">
      <c r="B105">
        <f t="shared" si="1"/>
        <v>0</v>
      </c>
    </row>
    <row r="106" spans="2:2">
      <c r="B106">
        <f t="shared" si="1"/>
        <v>0</v>
      </c>
    </row>
    <row r="107" spans="2:2">
      <c r="B107">
        <f t="shared" si="1"/>
        <v>0</v>
      </c>
    </row>
    <row r="108" spans="2:2">
      <c r="B108">
        <f t="shared" si="1"/>
        <v>0</v>
      </c>
    </row>
    <row r="109" spans="2:2">
      <c r="B109">
        <f t="shared" si="1"/>
        <v>0</v>
      </c>
    </row>
    <row r="110" spans="2:2">
      <c r="B110">
        <f t="shared" si="1"/>
        <v>0</v>
      </c>
    </row>
    <row r="111" spans="2:2">
      <c r="B111">
        <f t="shared" si="1"/>
        <v>0</v>
      </c>
    </row>
    <row r="112" spans="2:2">
      <c r="B112">
        <f t="shared" si="1"/>
        <v>0</v>
      </c>
    </row>
    <row r="113" spans="2:2">
      <c r="B113">
        <f t="shared" si="1"/>
        <v>0</v>
      </c>
    </row>
    <row r="114" spans="2:2">
      <c r="B114">
        <f t="shared" si="1"/>
        <v>0</v>
      </c>
    </row>
    <row r="115" spans="2:2">
      <c r="B115">
        <f t="shared" si="1"/>
        <v>0</v>
      </c>
    </row>
    <row r="116" spans="2:2">
      <c r="B116">
        <f t="shared" si="1"/>
        <v>0</v>
      </c>
    </row>
    <row r="117" spans="2:2">
      <c r="B117">
        <f t="shared" si="1"/>
        <v>0</v>
      </c>
    </row>
    <row r="118" spans="2:2">
      <c r="B118">
        <f t="shared" si="1"/>
        <v>0</v>
      </c>
    </row>
    <row r="119" spans="2:2">
      <c r="B119">
        <f t="shared" si="1"/>
        <v>0</v>
      </c>
    </row>
    <row r="120" spans="2:2">
      <c r="B120">
        <f t="shared" si="1"/>
        <v>0</v>
      </c>
    </row>
    <row r="121" spans="2:2">
      <c r="B121">
        <f t="shared" si="1"/>
        <v>0</v>
      </c>
    </row>
    <row r="122" spans="2:2">
      <c r="B122">
        <f t="shared" si="1"/>
        <v>0</v>
      </c>
    </row>
    <row r="123" spans="2:2">
      <c r="B123">
        <f t="shared" si="1"/>
        <v>0</v>
      </c>
    </row>
    <row r="124" spans="2:2">
      <c r="B124">
        <f t="shared" si="1"/>
        <v>0</v>
      </c>
    </row>
    <row r="125" spans="2:2">
      <c r="B125">
        <f t="shared" si="1"/>
        <v>0</v>
      </c>
    </row>
    <row r="126" spans="2:2">
      <c r="B126">
        <f t="shared" si="1"/>
        <v>0</v>
      </c>
    </row>
    <row r="127" spans="2:2">
      <c r="B127">
        <f t="shared" si="1"/>
        <v>0</v>
      </c>
    </row>
    <row r="128" spans="2:2">
      <c r="B128">
        <f t="shared" si="1"/>
        <v>0</v>
      </c>
    </row>
    <row r="129" spans="2:2">
      <c r="B129">
        <f t="shared" si="1"/>
        <v>0</v>
      </c>
    </row>
    <row r="130" spans="2:2">
      <c r="B130">
        <f t="shared" ref="B130:B193" si="2">LEN(A130)</f>
        <v>0</v>
      </c>
    </row>
    <row r="131" spans="2:2">
      <c r="B131">
        <f t="shared" si="2"/>
        <v>0</v>
      </c>
    </row>
    <row r="132" spans="2:2">
      <c r="B132">
        <f t="shared" si="2"/>
        <v>0</v>
      </c>
    </row>
    <row r="133" spans="2:2">
      <c r="B133">
        <f t="shared" si="2"/>
        <v>0</v>
      </c>
    </row>
    <row r="134" spans="2:2">
      <c r="B134">
        <f t="shared" si="2"/>
        <v>0</v>
      </c>
    </row>
    <row r="135" spans="2:2">
      <c r="B135">
        <f t="shared" si="2"/>
        <v>0</v>
      </c>
    </row>
    <row r="136" spans="2:2">
      <c r="B136">
        <f t="shared" si="2"/>
        <v>0</v>
      </c>
    </row>
    <row r="137" spans="2:2">
      <c r="B137">
        <f t="shared" si="2"/>
        <v>0</v>
      </c>
    </row>
    <row r="138" spans="2:2">
      <c r="B138">
        <f t="shared" si="2"/>
        <v>0</v>
      </c>
    </row>
    <row r="139" spans="2:2">
      <c r="B139">
        <f t="shared" si="2"/>
        <v>0</v>
      </c>
    </row>
    <row r="140" spans="2:2">
      <c r="B140">
        <f t="shared" si="2"/>
        <v>0</v>
      </c>
    </row>
    <row r="141" spans="2:2">
      <c r="B141">
        <f t="shared" si="2"/>
        <v>0</v>
      </c>
    </row>
    <row r="142" spans="2:2">
      <c r="B142">
        <f t="shared" si="2"/>
        <v>0</v>
      </c>
    </row>
    <row r="143" spans="2:2">
      <c r="B143">
        <f t="shared" si="2"/>
        <v>0</v>
      </c>
    </row>
    <row r="144" spans="2:2">
      <c r="B144">
        <f t="shared" si="2"/>
        <v>0</v>
      </c>
    </row>
    <row r="145" spans="2:2">
      <c r="B145">
        <f t="shared" si="2"/>
        <v>0</v>
      </c>
    </row>
    <row r="146" spans="2:2">
      <c r="B146">
        <f t="shared" si="2"/>
        <v>0</v>
      </c>
    </row>
    <row r="147" spans="2:2">
      <c r="B147">
        <f t="shared" si="2"/>
        <v>0</v>
      </c>
    </row>
    <row r="148" spans="2:2">
      <c r="B148">
        <f t="shared" si="2"/>
        <v>0</v>
      </c>
    </row>
    <row r="149" spans="2:2">
      <c r="B149">
        <f t="shared" si="2"/>
        <v>0</v>
      </c>
    </row>
    <row r="150" spans="2:2">
      <c r="B150">
        <f t="shared" si="2"/>
        <v>0</v>
      </c>
    </row>
    <row r="151" spans="2:2">
      <c r="B151">
        <f t="shared" si="2"/>
        <v>0</v>
      </c>
    </row>
    <row r="152" spans="2:2">
      <c r="B152">
        <f t="shared" si="2"/>
        <v>0</v>
      </c>
    </row>
    <row r="153" spans="2:2">
      <c r="B153">
        <f t="shared" si="2"/>
        <v>0</v>
      </c>
    </row>
    <row r="154" spans="2:2">
      <c r="B154">
        <f t="shared" si="2"/>
        <v>0</v>
      </c>
    </row>
    <row r="155" spans="2:2">
      <c r="B155">
        <f t="shared" si="2"/>
        <v>0</v>
      </c>
    </row>
    <row r="156" spans="2:2">
      <c r="B156">
        <f t="shared" si="2"/>
        <v>0</v>
      </c>
    </row>
    <row r="157" spans="2:2">
      <c r="B157">
        <f t="shared" si="2"/>
        <v>0</v>
      </c>
    </row>
    <row r="158" spans="2:2">
      <c r="B158">
        <f t="shared" si="2"/>
        <v>0</v>
      </c>
    </row>
    <row r="159" spans="2:2">
      <c r="B159">
        <f t="shared" si="2"/>
        <v>0</v>
      </c>
    </row>
    <row r="160" spans="2:2">
      <c r="B160">
        <f t="shared" si="2"/>
        <v>0</v>
      </c>
    </row>
    <row r="161" spans="2:2">
      <c r="B161">
        <f t="shared" si="2"/>
        <v>0</v>
      </c>
    </row>
    <row r="162" spans="2:2">
      <c r="B162">
        <f t="shared" si="2"/>
        <v>0</v>
      </c>
    </row>
    <row r="163" spans="2:2">
      <c r="B163">
        <f t="shared" si="2"/>
        <v>0</v>
      </c>
    </row>
    <row r="164" spans="2:2">
      <c r="B164">
        <f t="shared" si="2"/>
        <v>0</v>
      </c>
    </row>
    <row r="165" spans="2:2">
      <c r="B165">
        <f t="shared" si="2"/>
        <v>0</v>
      </c>
    </row>
    <row r="166" spans="2:2">
      <c r="B166">
        <f t="shared" si="2"/>
        <v>0</v>
      </c>
    </row>
    <row r="167" spans="2:2">
      <c r="B167">
        <f t="shared" si="2"/>
        <v>0</v>
      </c>
    </row>
    <row r="168" spans="2:2">
      <c r="B168">
        <f t="shared" si="2"/>
        <v>0</v>
      </c>
    </row>
    <row r="169" spans="2:2">
      <c r="B169">
        <f t="shared" si="2"/>
        <v>0</v>
      </c>
    </row>
    <row r="170" spans="2:2">
      <c r="B170">
        <f t="shared" si="2"/>
        <v>0</v>
      </c>
    </row>
    <row r="171" spans="2:2">
      <c r="B171">
        <f t="shared" si="2"/>
        <v>0</v>
      </c>
    </row>
    <row r="172" spans="2:2">
      <c r="B172">
        <f t="shared" si="2"/>
        <v>0</v>
      </c>
    </row>
    <row r="173" spans="2:2">
      <c r="B173">
        <f t="shared" si="2"/>
        <v>0</v>
      </c>
    </row>
    <row r="174" spans="2:2">
      <c r="B174">
        <f t="shared" si="2"/>
        <v>0</v>
      </c>
    </row>
    <row r="175" spans="2:2">
      <c r="B175">
        <f t="shared" si="2"/>
        <v>0</v>
      </c>
    </row>
    <row r="176" spans="2:2">
      <c r="B176">
        <f t="shared" si="2"/>
        <v>0</v>
      </c>
    </row>
    <row r="177" spans="2:2">
      <c r="B177">
        <f t="shared" si="2"/>
        <v>0</v>
      </c>
    </row>
    <row r="178" spans="2:2">
      <c r="B178">
        <f t="shared" si="2"/>
        <v>0</v>
      </c>
    </row>
    <row r="179" spans="2:2">
      <c r="B179">
        <f t="shared" si="2"/>
        <v>0</v>
      </c>
    </row>
    <row r="180" spans="2:2">
      <c r="B180">
        <f t="shared" si="2"/>
        <v>0</v>
      </c>
    </row>
    <row r="181" spans="2:2">
      <c r="B181">
        <f t="shared" si="2"/>
        <v>0</v>
      </c>
    </row>
    <row r="182" spans="2:2">
      <c r="B182">
        <f t="shared" si="2"/>
        <v>0</v>
      </c>
    </row>
    <row r="183" spans="2:2">
      <c r="B183">
        <f t="shared" si="2"/>
        <v>0</v>
      </c>
    </row>
    <row r="184" spans="2:2">
      <c r="B184">
        <f t="shared" si="2"/>
        <v>0</v>
      </c>
    </row>
    <row r="185" spans="2:2">
      <c r="B185">
        <f t="shared" si="2"/>
        <v>0</v>
      </c>
    </row>
    <row r="186" spans="2:2">
      <c r="B186">
        <f t="shared" si="2"/>
        <v>0</v>
      </c>
    </row>
    <row r="187" spans="2:2">
      <c r="B187">
        <f t="shared" si="2"/>
        <v>0</v>
      </c>
    </row>
    <row r="188" spans="2:2">
      <c r="B188">
        <f t="shared" si="2"/>
        <v>0</v>
      </c>
    </row>
    <row r="189" spans="2:2">
      <c r="B189">
        <f t="shared" si="2"/>
        <v>0</v>
      </c>
    </row>
    <row r="190" spans="2:2">
      <c r="B190">
        <f t="shared" si="2"/>
        <v>0</v>
      </c>
    </row>
    <row r="191" spans="2:2">
      <c r="B191">
        <f t="shared" si="2"/>
        <v>0</v>
      </c>
    </row>
    <row r="192" spans="2:2">
      <c r="B192">
        <f t="shared" si="2"/>
        <v>0</v>
      </c>
    </row>
    <row r="193" spans="2:2">
      <c r="B193">
        <f t="shared" si="2"/>
        <v>0</v>
      </c>
    </row>
    <row r="194" spans="2:2">
      <c r="B194">
        <f t="shared" ref="B194:B257" si="3">LEN(A194)</f>
        <v>0</v>
      </c>
    </row>
    <row r="195" spans="2:2">
      <c r="B195">
        <f t="shared" si="3"/>
        <v>0</v>
      </c>
    </row>
    <row r="196" spans="2:2">
      <c r="B196">
        <f t="shared" si="3"/>
        <v>0</v>
      </c>
    </row>
    <row r="197" spans="2:2">
      <c r="B197">
        <f t="shared" si="3"/>
        <v>0</v>
      </c>
    </row>
    <row r="198" spans="2:2">
      <c r="B198">
        <f t="shared" si="3"/>
        <v>0</v>
      </c>
    </row>
    <row r="199" spans="2:2">
      <c r="B199">
        <f t="shared" si="3"/>
        <v>0</v>
      </c>
    </row>
    <row r="200" spans="2:2">
      <c r="B200">
        <f t="shared" si="3"/>
        <v>0</v>
      </c>
    </row>
    <row r="201" spans="2:2">
      <c r="B201">
        <f t="shared" si="3"/>
        <v>0</v>
      </c>
    </row>
    <row r="202" spans="2:2">
      <c r="B202">
        <f t="shared" si="3"/>
        <v>0</v>
      </c>
    </row>
    <row r="203" spans="2:2">
      <c r="B203">
        <f t="shared" si="3"/>
        <v>0</v>
      </c>
    </row>
    <row r="204" spans="2:2">
      <c r="B204">
        <f t="shared" si="3"/>
        <v>0</v>
      </c>
    </row>
    <row r="205" spans="2:2">
      <c r="B205">
        <f t="shared" si="3"/>
        <v>0</v>
      </c>
    </row>
    <row r="206" spans="2:2">
      <c r="B206">
        <f t="shared" si="3"/>
        <v>0</v>
      </c>
    </row>
    <row r="207" spans="2:2">
      <c r="B207">
        <f t="shared" si="3"/>
        <v>0</v>
      </c>
    </row>
    <row r="208" spans="2:2">
      <c r="B208">
        <f t="shared" si="3"/>
        <v>0</v>
      </c>
    </row>
    <row r="209" spans="2:2">
      <c r="B209">
        <f t="shared" si="3"/>
        <v>0</v>
      </c>
    </row>
    <row r="210" spans="2:2">
      <c r="B210">
        <f t="shared" si="3"/>
        <v>0</v>
      </c>
    </row>
    <row r="211" spans="2:2">
      <c r="B211">
        <f t="shared" si="3"/>
        <v>0</v>
      </c>
    </row>
    <row r="212" spans="2:2">
      <c r="B212">
        <f t="shared" si="3"/>
        <v>0</v>
      </c>
    </row>
    <row r="213" spans="2:2">
      <c r="B213">
        <f t="shared" si="3"/>
        <v>0</v>
      </c>
    </row>
    <row r="214" spans="2:2">
      <c r="B214">
        <f t="shared" si="3"/>
        <v>0</v>
      </c>
    </row>
    <row r="215" spans="2:2">
      <c r="B215">
        <f t="shared" si="3"/>
        <v>0</v>
      </c>
    </row>
    <row r="216" spans="2:2">
      <c r="B216">
        <f t="shared" si="3"/>
        <v>0</v>
      </c>
    </row>
    <row r="217" spans="2:2">
      <c r="B217">
        <f t="shared" si="3"/>
        <v>0</v>
      </c>
    </row>
    <row r="218" spans="2:2">
      <c r="B218">
        <f t="shared" si="3"/>
        <v>0</v>
      </c>
    </row>
    <row r="219" spans="2:2">
      <c r="B219">
        <f t="shared" si="3"/>
        <v>0</v>
      </c>
    </row>
    <row r="220" spans="2:2">
      <c r="B220">
        <f t="shared" si="3"/>
        <v>0</v>
      </c>
    </row>
    <row r="221" spans="2:2">
      <c r="B221">
        <f t="shared" si="3"/>
        <v>0</v>
      </c>
    </row>
    <row r="222" spans="2:2">
      <c r="B222">
        <f t="shared" si="3"/>
        <v>0</v>
      </c>
    </row>
    <row r="223" spans="2:2">
      <c r="B223">
        <f t="shared" si="3"/>
        <v>0</v>
      </c>
    </row>
    <row r="224" spans="2:2">
      <c r="B224">
        <f t="shared" si="3"/>
        <v>0</v>
      </c>
    </row>
    <row r="225" spans="2:2">
      <c r="B225">
        <f t="shared" si="3"/>
        <v>0</v>
      </c>
    </row>
    <row r="226" spans="2:2">
      <c r="B226">
        <f t="shared" si="3"/>
        <v>0</v>
      </c>
    </row>
    <row r="227" spans="2:2">
      <c r="B227">
        <f t="shared" si="3"/>
        <v>0</v>
      </c>
    </row>
    <row r="228" spans="2:2">
      <c r="B228">
        <f t="shared" si="3"/>
        <v>0</v>
      </c>
    </row>
    <row r="229" spans="2:2">
      <c r="B229">
        <f t="shared" si="3"/>
        <v>0</v>
      </c>
    </row>
    <row r="230" spans="2:2">
      <c r="B230">
        <f t="shared" si="3"/>
        <v>0</v>
      </c>
    </row>
    <row r="231" spans="2:2">
      <c r="B231">
        <f t="shared" si="3"/>
        <v>0</v>
      </c>
    </row>
    <row r="232" spans="2:2">
      <c r="B232">
        <f t="shared" si="3"/>
        <v>0</v>
      </c>
    </row>
    <row r="233" spans="2:2">
      <c r="B233">
        <f t="shared" si="3"/>
        <v>0</v>
      </c>
    </row>
    <row r="234" spans="2:2">
      <c r="B234">
        <f t="shared" si="3"/>
        <v>0</v>
      </c>
    </row>
    <row r="235" spans="2:2">
      <c r="B235">
        <f t="shared" si="3"/>
        <v>0</v>
      </c>
    </row>
    <row r="236" spans="2:2">
      <c r="B236">
        <f t="shared" si="3"/>
        <v>0</v>
      </c>
    </row>
    <row r="237" spans="2:2">
      <c r="B237">
        <f t="shared" si="3"/>
        <v>0</v>
      </c>
    </row>
    <row r="238" spans="2:2">
      <c r="B238">
        <f t="shared" si="3"/>
        <v>0</v>
      </c>
    </row>
    <row r="239" spans="2:2">
      <c r="B239">
        <f t="shared" si="3"/>
        <v>0</v>
      </c>
    </row>
    <row r="240" spans="2:2">
      <c r="B240">
        <f t="shared" si="3"/>
        <v>0</v>
      </c>
    </row>
    <row r="241" spans="2:2">
      <c r="B241">
        <f t="shared" si="3"/>
        <v>0</v>
      </c>
    </row>
    <row r="242" spans="2:2">
      <c r="B242">
        <f t="shared" si="3"/>
        <v>0</v>
      </c>
    </row>
    <row r="243" spans="2:2">
      <c r="B243">
        <f t="shared" si="3"/>
        <v>0</v>
      </c>
    </row>
    <row r="244" spans="2:2">
      <c r="B244">
        <f t="shared" si="3"/>
        <v>0</v>
      </c>
    </row>
    <row r="245" spans="2:2">
      <c r="B245">
        <f t="shared" si="3"/>
        <v>0</v>
      </c>
    </row>
    <row r="246" spans="2:2">
      <c r="B246">
        <f t="shared" si="3"/>
        <v>0</v>
      </c>
    </row>
    <row r="247" spans="2:2">
      <c r="B247">
        <f t="shared" si="3"/>
        <v>0</v>
      </c>
    </row>
    <row r="248" spans="2:2">
      <c r="B248">
        <f t="shared" si="3"/>
        <v>0</v>
      </c>
    </row>
    <row r="249" spans="2:2">
      <c r="B249">
        <f t="shared" si="3"/>
        <v>0</v>
      </c>
    </row>
    <row r="250" spans="2:2">
      <c r="B250">
        <f t="shared" si="3"/>
        <v>0</v>
      </c>
    </row>
    <row r="251" spans="2:2">
      <c r="B251">
        <f t="shared" si="3"/>
        <v>0</v>
      </c>
    </row>
    <row r="252" spans="2:2">
      <c r="B252">
        <f t="shared" si="3"/>
        <v>0</v>
      </c>
    </row>
    <row r="253" spans="2:2">
      <c r="B253">
        <f t="shared" si="3"/>
        <v>0</v>
      </c>
    </row>
    <row r="254" spans="2:2">
      <c r="B254">
        <f t="shared" si="3"/>
        <v>0</v>
      </c>
    </row>
    <row r="255" spans="2:2">
      <c r="B255">
        <f t="shared" si="3"/>
        <v>0</v>
      </c>
    </row>
    <row r="256" spans="2:2">
      <c r="B256">
        <f t="shared" si="3"/>
        <v>0</v>
      </c>
    </row>
    <row r="257" spans="2:2">
      <c r="B257">
        <f t="shared" si="3"/>
        <v>0</v>
      </c>
    </row>
    <row r="258" spans="2:2">
      <c r="B258">
        <f t="shared" ref="B258:B321" si="4">LEN(A258)</f>
        <v>0</v>
      </c>
    </row>
    <row r="259" spans="2:2">
      <c r="B259">
        <f t="shared" si="4"/>
        <v>0</v>
      </c>
    </row>
    <row r="260" spans="2:2">
      <c r="B260">
        <f t="shared" si="4"/>
        <v>0</v>
      </c>
    </row>
    <row r="261" spans="2:2">
      <c r="B261">
        <f t="shared" si="4"/>
        <v>0</v>
      </c>
    </row>
    <row r="262" spans="2:2">
      <c r="B262">
        <f t="shared" si="4"/>
        <v>0</v>
      </c>
    </row>
    <row r="263" spans="2:2">
      <c r="B263">
        <f t="shared" si="4"/>
        <v>0</v>
      </c>
    </row>
    <row r="264" spans="2:2">
      <c r="B264">
        <f t="shared" si="4"/>
        <v>0</v>
      </c>
    </row>
    <row r="265" spans="2:2">
      <c r="B265">
        <f t="shared" si="4"/>
        <v>0</v>
      </c>
    </row>
    <row r="266" spans="2:2">
      <c r="B266">
        <f t="shared" si="4"/>
        <v>0</v>
      </c>
    </row>
    <row r="267" spans="2:2">
      <c r="B267">
        <f t="shared" si="4"/>
        <v>0</v>
      </c>
    </row>
    <row r="268" spans="2:2">
      <c r="B268">
        <f t="shared" si="4"/>
        <v>0</v>
      </c>
    </row>
    <row r="269" spans="2:2">
      <c r="B269">
        <f t="shared" si="4"/>
        <v>0</v>
      </c>
    </row>
    <row r="270" spans="2:2">
      <c r="B270">
        <f t="shared" si="4"/>
        <v>0</v>
      </c>
    </row>
    <row r="271" spans="2:2">
      <c r="B271">
        <f t="shared" si="4"/>
        <v>0</v>
      </c>
    </row>
    <row r="272" spans="2:2">
      <c r="B272">
        <f t="shared" si="4"/>
        <v>0</v>
      </c>
    </row>
    <row r="273" spans="2:2">
      <c r="B273">
        <f t="shared" si="4"/>
        <v>0</v>
      </c>
    </row>
    <row r="274" spans="2:2">
      <c r="B274">
        <f t="shared" si="4"/>
        <v>0</v>
      </c>
    </row>
    <row r="275" spans="2:2">
      <c r="B275">
        <f t="shared" si="4"/>
        <v>0</v>
      </c>
    </row>
    <row r="276" spans="2:2">
      <c r="B276">
        <f t="shared" si="4"/>
        <v>0</v>
      </c>
    </row>
    <row r="277" spans="2:2">
      <c r="B277">
        <f t="shared" si="4"/>
        <v>0</v>
      </c>
    </row>
    <row r="278" spans="2:2">
      <c r="B278">
        <f t="shared" si="4"/>
        <v>0</v>
      </c>
    </row>
    <row r="279" spans="2:2">
      <c r="B279">
        <f t="shared" si="4"/>
        <v>0</v>
      </c>
    </row>
    <row r="280" spans="2:2">
      <c r="B280">
        <f t="shared" si="4"/>
        <v>0</v>
      </c>
    </row>
    <row r="281" spans="2:2">
      <c r="B281">
        <f t="shared" si="4"/>
        <v>0</v>
      </c>
    </row>
    <row r="282" spans="2:2">
      <c r="B282">
        <f t="shared" si="4"/>
        <v>0</v>
      </c>
    </row>
    <row r="283" spans="2:2">
      <c r="B283">
        <f t="shared" si="4"/>
        <v>0</v>
      </c>
    </row>
    <row r="284" spans="2:2">
      <c r="B284">
        <f t="shared" si="4"/>
        <v>0</v>
      </c>
    </row>
    <row r="285" spans="2:2">
      <c r="B285">
        <f t="shared" si="4"/>
        <v>0</v>
      </c>
    </row>
    <row r="286" spans="2:2">
      <c r="B286">
        <f t="shared" si="4"/>
        <v>0</v>
      </c>
    </row>
    <row r="287" spans="2:2">
      <c r="B287">
        <f t="shared" si="4"/>
        <v>0</v>
      </c>
    </row>
    <row r="288" spans="2:2">
      <c r="B288">
        <f t="shared" si="4"/>
        <v>0</v>
      </c>
    </row>
    <row r="289" spans="2:2">
      <c r="B289">
        <f t="shared" si="4"/>
        <v>0</v>
      </c>
    </row>
    <row r="290" spans="2:2">
      <c r="B290">
        <f t="shared" si="4"/>
        <v>0</v>
      </c>
    </row>
    <row r="291" spans="2:2">
      <c r="B291">
        <f t="shared" si="4"/>
        <v>0</v>
      </c>
    </row>
    <row r="292" spans="2:2">
      <c r="B292">
        <f t="shared" si="4"/>
        <v>0</v>
      </c>
    </row>
    <row r="293" spans="2:2">
      <c r="B293">
        <f t="shared" si="4"/>
        <v>0</v>
      </c>
    </row>
    <row r="294" spans="2:2">
      <c r="B294">
        <f t="shared" si="4"/>
        <v>0</v>
      </c>
    </row>
    <row r="295" spans="2:2">
      <c r="B295">
        <f t="shared" si="4"/>
        <v>0</v>
      </c>
    </row>
    <row r="296" spans="2:2">
      <c r="B296">
        <f t="shared" si="4"/>
        <v>0</v>
      </c>
    </row>
    <row r="297" spans="2:2">
      <c r="B297">
        <f t="shared" si="4"/>
        <v>0</v>
      </c>
    </row>
    <row r="298" spans="2:2">
      <c r="B298">
        <f t="shared" si="4"/>
        <v>0</v>
      </c>
    </row>
    <row r="299" spans="2:2">
      <c r="B299">
        <f t="shared" si="4"/>
        <v>0</v>
      </c>
    </row>
    <row r="300" spans="2:2">
      <c r="B300">
        <f t="shared" si="4"/>
        <v>0</v>
      </c>
    </row>
    <row r="301" spans="2:2">
      <c r="B301">
        <f t="shared" si="4"/>
        <v>0</v>
      </c>
    </row>
    <row r="302" spans="2:2">
      <c r="B302">
        <f t="shared" si="4"/>
        <v>0</v>
      </c>
    </row>
    <row r="303" spans="2:2">
      <c r="B303">
        <f t="shared" si="4"/>
        <v>0</v>
      </c>
    </row>
    <row r="304" spans="2:2">
      <c r="B304">
        <f t="shared" si="4"/>
        <v>0</v>
      </c>
    </row>
    <row r="305" spans="2:2">
      <c r="B305">
        <f t="shared" si="4"/>
        <v>0</v>
      </c>
    </row>
    <row r="306" spans="2:2">
      <c r="B306">
        <f t="shared" si="4"/>
        <v>0</v>
      </c>
    </row>
    <row r="307" spans="2:2">
      <c r="B307">
        <f t="shared" si="4"/>
        <v>0</v>
      </c>
    </row>
    <row r="308" spans="2:2">
      <c r="B308">
        <f t="shared" si="4"/>
        <v>0</v>
      </c>
    </row>
    <row r="309" spans="2:2">
      <c r="B309">
        <f t="shared" si="4"/>
        <v>0</v>
      </c>
    </row>
    <row r="310" spans="2:2">
      <c r="B310">
        <f t="shared" si="4"/>
        <v>0</v>
      </c>
    </row>
    <row r="311" spans="2:2">
      <c r="B311">
        <f t="shared" si="4"/>
        <v>0</v>
      </c>
    </row>
    <row r="312" spans="2:2">
      <c r="B312">
        <f t="shared" si="4"/>
        <v>0</v>
      </c>
    </row>
    <row r="313" spans="2:2">
      <c r="B313">
        <f t="shared" si="4"/>
        <v>0</v>
      </c>
    </row>
    <row r="314" spans="2:2">
      <c r="B314">
        <f t="shared" si="4"/>
        <v>0</v>
      </c>
    </row>
    <row r="315" spans="2:2">
      <c r="B315">
        <f t="shared" si="4"/>
        <v>0</v>
      </c>
    </row>
    <row r="316" spans="2:2">
      <c r="B316">
        <f t="shared" si="4"/>
        <v>0</v>
      </c>
    </row>
    <row r="317" spans="2:2">
      <c r="B317">
        <f t="shared" si="4"/>
        <v>0</v>
      </c>
    </row>
    <row r="318" spans="2:2">
      <c r="B318">
        <f t="shared" si="4"/>
        <v>0</v>
      </c>
    </row>
    <row r="319" spans="2:2">
      <c r="B319">
        <f t="shared" si="4"/>
        <v>0</v>
      </c>
    </row>
    <row r="320" spans="2:2">
      <c r="B320">
        <f t="shared" si="4"/>
        <v>0</v>
      </c>
    </row>
    <row r="321" spans="2:2">
      <c r="B321">
        <f t="shared" si="4"/>
        <v>0</v>
      </c>
    </row>
    <row r="322" spans="2:2">
      <c r="B322">
        <f t="shared" ref="B322:B385" si="5">LEN(A322)</f>
        <v>0</v>
      </c>
    </row>
    <row r="323" spans="2:2">
      <c r="B323">
        <f t="shared" si="5"/>
        <v>0</v>
      </c>
    </row>
    <row r="324" spans="2:2">
      <c r="B324">
        <f t="shared" si="5"/>
        <v>0</v>
      </c>
    </row>
    <row r="325" spans="2:2">
      <c r="B325">
        <f t="shared" si="5"/>
        <v>0</v>
      </c>
    </row>
    <row r="326" spans="2:2">
      <c r="B326">
        <f t="shared" si="5"/>
        <v>0</v>
      </c>
    </row>
    <row r="327" spans="2:2">
      <c r="B327">
        <f t="shared" si="5"/>
        <v>0</v>
      </c>
    </row>
    <row r="328" spans="2:2">
      <c r="B328">
        <f t="shared" si="5"/>
        <v>0</v>
      </c>
    </row>
    <row r="329" spans="2:2">
      <c r="B329">
        <f t="shared" si="5"/>
        <v>0</v>
      </c>
    </row>
    <row r="330" spans="2:2">
      <c r="B330">
        <f t="shared" si="5"/>
        <v>0</v>
      </c>
    </row>
    <row r="331" spans="2:2">
      <c r="B331">
        <f t="shared" si="5"/>
        <v>0</v>
      </c>
    </row>
    <row r="332" spans="2:2">
      <c r="B332">
        <f t="shared" si="5"/>
        <v>0</v>
      </c>
    </row>
    <row r="333" spans="2:2">
      <c r="B333">
        <f t="shared" si="5"/>
        <v>0</v>
      </c>
    </row>
    <row r="334" spans="2:2">
      <c r="B334">
        <f t="shared" si="5"/>
        <v>0</v>
      </c>
    </row>
    <row r="335" spans="2:2">
      <c r="B335">
        <f t="shared" si="5"/>
        <v>0</v>
      </c>
    </row>
    <row r="336" spans="2:2">
      <c r="B336">
        <f t="shared" si="5"/>
        <v>0</v>
      </c>
    </row>
    <row r="337" spans="2:2">
      <c r="B337">
        <f t="shared" si="5"/>
        <v>0</v>
      </c>
    </row>
    <row r="338" spans="2:2">
      <c r="B338">
        <f t="shared" si="5"/>
        <v>0</v>
      </c>
    </row>
    <row r="339" spans="2:2">
      <c r="B339">
        <f t="shared" si="5"/>
        <v>0</v>
      </c>
    </row>
    <row r="340" spans="2:2">
      <c r="B340">
        <f t="shared" si="5"/>
        <v>0</v>
      </c>
    </row>
    <row r="341" spans="2:2">
      <c r="B341">
        <f t="shared" si="5"/>
        <v>0</v>
      </c>
    </row>
    <row r="342" spans="2:2">
      <c r="B342">
        <f t="shared" si="5"/>
        <v>0</v>
      </c>
    </row>
    <row r="343" spans="2:2">
      <c r="B343">
        <f t="shared" si="5"/>
        <v>0</v>
      </c>
    </row>
    <row r="344" spans="2:2">
      <c r="B344">
        <f t="shared" si="5"/>
        <v>0</v>
      </c>
    </row>
    <row r="345" spans="2:2">
      <c r="B345">
        <f t="shared" si="5"/>
        <v>0</v>
      </c>
    </row>
    <row r="346" spans="2:2">
      <c r="B346">
        <f t="shared" si="5"/>
        <v>0</v>
      </c>
    </row>
    <row r="347" spans="2:2">
      <c r="B347">
        <f t="shared" si="5"/>
        <v>0</v>
      </c>
    </row>
    <row r="348" spans="2:2">
      <c r="B348">
        <f t="shared" si="5"/>
        <v>0</v>
      </c>
    </row>
    <row r="349" spans="2:2">
      <c r="B349">
        <f t="shared" si="5"/>
        <v>0</v>
      </c>
    </row>
    <row r="350" spans="2:2">
      <c r="B350">
        <f t="shared" si="5"/>
        <v>0</v>
      </c>
    </row>
    <row r="351" spans="2:2">
      <c r="B351">
        <f t="shared" si="5"/>
        <v>0</v>
      </c>
    </row>
    <row r="352" spans="2:2">
      <c r="B352">
        <f t="shared" si="5"/>
        <v>0</v>
      </c>
    </row>
    <row r="353" spans="2:2">
      <c r="B353">
        <f t="shared" si="5"/>
        <v>0</v>
      </c>
    </row>
    <row r="354" spans="2:2">
      <c r="B354">
        <f t="shared" si="5"/>
        <v>0</v>
      </c>
    </row>
    <row r="355" spans="2:2">
      <c r="B355">
        <f t="shared" si="5"/>
        <v>0</v>
      </c>
    </row>
    <row r="356" spans="2:2">
      <c r="B356">
        <f t="shared" si="5"/>
        <v>0</v>
      </c>
    </row>
    <row r="357" spans="2:2">
      <c r="B357">
        <f t="shared" si="5"/>
        <v>0</v>
      </c>
    </row>
    <row r="358" spans="2:2">
      <c r="B358">
        <f t="shared" si="5"/>
        <v>0</v>
      </c>
    </row>
    <row r="359" spans="2:2">
      <c r="B359">
        <f t="shared" si="5"/>
        <v>0</v>
      </c>
    </row>
    <row r="360" spans="2:2">
      <c r="B360">
        <f t="shared" si="5"/>
        <v>0</v>
      </c>
    </row>
    <row r="361" spans="2:2">
      <c r="B361">
        <f t="shared" si="5"/>
        <v>0</v>
      </c>
    </row>
    <row r="362" spans="2:2">
      <c r="B362">
        <f t="shared" si="5"/>
        <v>0</v>
      </c>
    </row>
    <row r="363" spans="2:2">
      <c r="B363">
        <f t="shared" si="5"/>
        <v>0</v>
      </c>
    </row>
    <row r="364" spans="2:2">
      <c r="B364">
        <f t="shared" si="5"/>
        <v>0</v>
      </c>
    </row>
    <row r="365" spans="2:2">
      <c r="B365">
        <f t="shared" si="5"/>
        <v>0</v>
      </c>
    </row>
    <row r="366" spans="2:2">
      <c r="B366">
        <f t="shared" si="5"/>
        <v>0</v>
      </c>
    </row>
    <row r="367" spans="2:2">
      <c r="B367">
        <f t="shared" si="5"/>
        <v>0</v>
      </c>
    </row>
    <row r="368" spans="2:2">
      <c r="B368">
        <f t="shared" si="5"/>
        <v>0</v>
      </c>
    </row>
    <row r="369" spans="2:2">
      <c r="B369">
        <f t="shared" si="5"/>
        <v>0</v>
      </c>
    </row>
    <row r="370" spans="2:2">
      <c r="B370">
        <f t="shared" si="5"/>
        <v>0</v>
      </c>
    </row>
    <row r="371" spans="2:2">
      <c r="B371">
        <f t="shared" si="5"/>
        <v>0</v>
      </c>
    </row>
    <row r="372" spans="2:2">
      <c r="B372">
        <f t="shared" si="5"/>
        <v>0</v>
      </c>
    </row>
    <row r="373" spans="2:2">
      <c r="B373">
        <f t="shared" si="5"/>
        <v>0</v>
      </c>
    </row>
    <row r="374" spans="2:2">
      <c r="B374">
        <f t="shared" si="5"/>
        <v>0</v>
      </c>
    </row>
    <row r="375" spans="2:2">
      <c r="B375">
        <f t="shared" si="5"/>
        <v>0</v>
      </c>
    </row>
    <row r="376" spans="2:2">
      <c r="B376">
        <f t="shared" si="5"/>
        <v>0</v>
      </c>
    </row>
    <row r="377" spans="2:2">
      <c r="B377">
        <f t="shared" si="5"/>
        <v>0</v>
      </c>
    </row>
    <row r="378" spans="2:2">
      <c r="B378">
        <f t="shared" si="5"/>
        <v>0</v>
      </c>
    </row>
    <row r="379" spans="2:2">
      <c r="B379">
        <f t="shared" si="5"/>
        <v>0</v>
      </c>
    </row>
    <row r="380" spans="2:2">
      <c r="B380">
        <f t="shared" si="5"/>
        <v>0</v>
      </c>
    </row>
    <row r="381" spans="2:2">
      <c r="B381">
        <f t="shared" si="5"/>
        <v>0</v>
      </c>
    </row>
    <row r="382" spans="2:2">
      <c r="B382">
        <f t="shared" si="5"/>
        <v>0</v>
      </c>
    </row>
    <row r="383" spans="2:2">
      <c r="B383">
        <f t="shared" si="5"/>
        <v>0</v>
      </c>
    </row>
    <row r="384" spans="2:2">
      <c r="B384">
        <f t="shared" si="5"/>
        <v>0</v>
      </c>
    </row>
    <row r="385" spans="2:2">
      <c r="B385">
        <f t="shared" si="5"/>
        <v>0</v>
      </c>
    </row>
    <row r="386" spans="2:2">
      <c r="B386">
        <f t="shared" ref="B386:B449" si="6">LEN(A386)</f>
        <v>0</v>
      </c>
    </row>
    <row r="387" spans="2:2">
      <c r="B387">
        <f t="shared" si="6"/>
        <v>0</v>
      </c>
    </row>
    <row r="388" spans="2:2">
      <c r="B388">
        <f t="shared" si="6"/>
        <v>0</v>
      </c>
    </row>
    <row r="389" spans="2:2">
      <c r="B389">
        <f t="shared" si="6"/>
        <v>0</v>
      </c>
    </row>
    <row r="390" spans="2:2">
      <c r="B390">
        <f t="shared" si="6"/>
        <v>0</v>
      </c>
    </row>
    <row r="391" spans="2:2">
      <c r="B391">
        <f t="shared" si="6"/>
        <v>0</v>
      </c>
    </row>
    <row r="392" spans="2:2">
      <c r="B392">
        <f t="shared" si="6"/>
        <v>0</v>
      </c>
    </row>
    <row r="393" spans="2:2">
      <c r="B393">
        <f t="shared" si="6"/>
        <v>0</v>
      </c>
    </row>
    <row r="394" spans="2:2">
      <c r="B394">
        <f t="shared" si="6"/>
        <v>0</v>
      </c>
    </row>
    <row r="395" spans="2:2">
      <c r="B395">
        <f t="shared" si="6"/>
        <v>0</v>
      </c>
    </row>
    <row r="396" spans="2:2">
      <c r="B396">
        <f t="shared" si="6"/>
        <v>0</v>
      </c>
    </row>
    <row r="397" spans="2:2">
      <c r="B397">
        <f t="shared" si="6"/>
        <v>0</v>
      </c>
    </row>
    <row r="398" spans="2:2">
      <c r="B398">
        <f t="shared" si="6"/>
        <v>0</v>
      </c>
    </row>
    <row r="399" spans="2:2">
      <c r="B399">
        <f t="shared" si="6"/>
        <v>0</v>
      </c>
    </row>
    <row r="400" spans="2:2">
      <c r="B400">
        <f t="shared" si="6"/>
        <v>0</v>
      </c>
    </row>
    <row r="401" spans="2:2">
      <c r="B401">
        <f t="shared" si="6"/>
        <v>0</v>
      </c>
    </row>
    <row r="402" spans="2:2">
      <c r="B402">
        <f t="shared" si="6"/>
        <v>0</v>
      </c>
    </row>
    <row r="403" spans="2:2">
      <c r="B403">
        <f t="shared" si="6"/>
        <v>0</v>
      </c>
    </row>
    <row r="404" spans="2:2">
      <c r="B404">
        <f t="shared" si="6"/>
        <v>0</v>
      </c>
    </row>
    <row r="405" spans="2:2">
      <c r="B405">
        <f t="shared" si="6"/>
        <v>0</v>
      </c>
    </row>
    <row r="406" spans="2:2">
      <c r="B406">
        <f t="shared" si="6"/>
        <v>0</v>
      </c>
    </row>
    <row r="407" spans="2:2">
      <c r="B407">
        <f t="shared" si="6"/>
        <v>0</v>
      </c>
    </row>
    <row r="408" spans="2:2">
      <c r="B408">
        <f t="shared" si="6"/>
        <v>0</v>
      </c>
    </row>
    <row r="409" spans="2:2">
      <c r="B409">
        <f t="shared" si="6"/>
        <v>0</v>
      </c>
    </row>
    <row r="410" spans="2:2">
      <c r="B410">
        <f t="shared" si="6"/>
        <v>0</v>
      </c>
    </row>
    <row r="411" spans="2:2">
      <c r="B411">
        <f t="shared" si="6"/>
        <v>0</v>
      </c>
    </row>
    <row r="412" spans="2:2">
      <c r="B412">
        <f t="shared" si="6"/>
        <v>0</v>
      </c>
    </row>
    <row r="413" spans="2:2">
      <c r="B413">
        <f t="shared" si="6"/>
        <v>0</v>
      </c>
    </row>
    <row r="414" spans="2:2">
      <c r="B414">
        <f t="shared" si="6"/>
        <v>0</v>
      </c>
    </row>
    <row r="415" spans="2:2">
      <c r="B415">
        <f t="shared" si="6"/>
        <v>0</v>
      </c>
    </row>
    <row r="416" spans="2:2">
      <c r="B416">
        <f t="shared" si="6"/>
        <v>0</v>
      </c>
    </row>
    <row r="417" spans="2:2">
      <c r="B417">
        <f t="shared" si="6"/>
        <v>0</v>
      </c>
    </row>
    <row r="418" spans="2:2">
      <c r="B418">
        <f t="shared" si="6"/>
        <v>0</v>
      </c>
    </row>
    <row r="419" spans="2:2">
      <c r="B419">
        <f t="shared" si="6"/>
        <v>0</v>
      </c>
    </row>
    <row r="420" spans="2:2">
      <c r="B420">
        <f t="shared" si="6"/>
        <v>0</v>
      </c>
    </row>
    <row r="421" spans="2:2">
      <c r="B421">
        <f t="shared" si="6"/>
        <v>0</v>
      </c>
    </row>
    <row r="422" spans="2:2">
      <c r="B422">
        <f t="shared" si="6"/>
        <v>0</v>
      </c>
    </row>
    <row r="423" spans="2:2">
      <c r="B423">
        <f t="shared" si="6"/>
        <v>0</v>
      </c>
    </row>
    <row r="424" spans="2:2">
      <c r="B424">
        <f t="shared" si="6"/>
        <v>0</v>
      </c>
    </row>
    <row r="425" spans="2:2">
      <c r="B425">
        <f t="shared" si="6"/>
        <v>0</v>
      </c>
    </row>
    <row r="426" spans="2:2">
      <c r="B426">
        <f t="shared" si="6"/>
        <v>0</v>
      </c>
    </row>
    <row r="427" spans="2:2">
      <c r="B427">
        <f t="shared" si="6"/>
        <v>0</v>
      </c>
    </row>
    <row r="428" spans="2:2">
      <c r="B428">
        <f t="shared" si="6"/>
        <v>0</v>
      </c>
    </row>
    <row r="429" spans="2:2">
      <c r="B429">
        <f t="shared" si="6"/>
        <v>0</v>
      </c>
    </row>
    <row r="430" spans="2:2">
      <c r="B430">
        <f t="shared" si="6"/>
        <v>0</v>
      </c>
    </row>
    <row r="431" spans="2:2">
      <c r="B431">
        <f t="shared" si="6"/>
        <v>0</v>
      </c>
    </row>
    <row r="432" spans="2:2">
      <c r="B432">
        <f t="shared" si="6"/>
        <v>0</v>
      </c>
    </row>
    <row r="433" spans="2:2">
      <c r="B433">
        <f t="shared" si="6"/>
        <v>0</v>
      </c>
    </row>
    <row r="434" spans="2:2">
      <c r="B434">
        <f t="shared" si="6"/>
        <v>0</v>
      </c>
    </row>
    <row r="435" spans="2:2">
      <c r="B435">
        <f t="shared" si="6"/>
        <v>0</v>
      </c>
    </row>
    <row r="436" spans="2:2">
      <c r="B436">
        <f t="shared" si="6"/>
        <v>0</v>
      </c>
    </row>
    <row r="437" spans="2:2">
      <c r="B437">
        <f t="shared" si="6"/>
        <v>0</v>
      </c>
    </row>
    <row r="438" spans="2:2">
      <c r="B438">
        <f t="shared" si="6"/>
        <v>0</v>
      </c>
    </row>
    <row r="439" spans="2:2">
      <c r="B439">
        <f t="shared" si="6"/>
        <v>0</v>
      </c>
    </row>
    <row r="440" spans="2:2">
      <c r="B440">
        <f t="shared" si="6"/>
        <v>0</v>
      </c>
    </row>
    <row r="441" spans="2:2">
      <c r="B441">
        <f t="shared" si="6"/>
        <v>0</v>
      </c>
    </row>
    <row r="442" spans="2:2">
      <c r="B442">
        <f t="shared" si="6"/>
        <v>0</v>
      </c>
    </row>
    <row r="443" spans="2:2">
      <c r="B443">
        <f t="shared" si="6"/>
        <v>0</v>
      </c>
    </row>
    <row r="444" spans="2:2">
      <c r="B444">
        <f t="shared" si="6"/>
        <v>0</v>
      </c>
    </row>
    <row r="445" spans="2:2">
      <c r="B445">
        <f t="shared" si="6"/>
        <v>0</v>
      </c>
    </row>
    <row r="446" spans="2:2">
      <c r="B446">
        <f t="shared" si="6"/>
        <v>0</v>
      </c>
    </row>
    <row r="447" spans="2:2">
      <c r="B447">
        <f t="shared" si="6"/>
        <v>0</v>
      </c>
    </row>
    <row r="448" spans="2:2">
      <c r="B448">
        <f t="shared" si="6"/>
        <v>0</v>
      </c>
    </row>
    <row r="449" spans="2:2">
      <c r="B449">
        <f t="shared" si="6"/>
        <v>0</v>
      </c>
    </row>
    <row r="450" spans="2:2">
      <c r="B450">
        <f t="shared" ref="B450:B513" si="7">LEN(A450)</f>
        <v>0</v>
      </c>
    </row>
    <row r="451" spans="2:2">
      <c r="B451">
        <f t="shared" si="7"/>
        <v>0</v>
      </c>
    </row>
    <row r="452" spans="2:2">
      <c r="B452">
        <f t="shared" si="7"/>
        <v>0</v>
      </c>
    </row>
    <row r="453" spans="2:2">
      <c r="B453">
        <f t="shared" si="7"/>
        <v>0</v>
      </c>
    </row>
    <row r="454" spans="2:2">
      <c r="B454">
        <f t="shared" si="7"/>
        <v>0</v>
      </c>
    </row>
    <row r="455" spans="2:2">
      <c r="B455">
        <f t="shared" si="7"/>
        <v>0</v>
      </c>
    </row>
    <row r="456" spans="2:2">
      <c r="B456">
        <f t="shared" si="7"/>
        <v>0</v>
      </c>
    </row>
    <row r="457" spans="2:2">
      <c r="B457">
        <f t="shared" si="7"/>
        <v>0</v>
      </c>
    </row>
    <row r="458" spans="2:2">
      <c r="B458">
        <f t="shared" si="7"/>
        <v>0</v>
      </c>
    </row>
    <row r="459" spans="2:2">
      <c r="B459">
        <f t="shared" si="7"/>
        <v>0</v>
      </c>
    </row>
    <row r="460" spans="2:2">
      <c r="B460">
        <f t="shared" si="7"/>
        <v>0</v>
      </c>
    </row>
    <row r="461" spans="2:2">
      <c r="B461">
        <f t="shared" si="7"/>
        <v>0</v>
      </c>
    </row>
    <row r="462" spans="2:2">
      <c r="B462">
        <f t="shared" si="7"/>
        <v>0</v>
      </c>
    </row>
    <row r="463" spans="2:2">
      <c r="B463">
        <f t="shared" si="7"/>
        <v>0</v>
      </c>
    </row>
    <row r="464" spans="2:2">
      <c r="B464">
        <f t="shared" si="7"/>
        <v>0</v>
      </c>
    </row>
    <row r="465" spans="2:2">
      <c r="B465">
        <f t="shared" si="7"/>
        <v>0</v>
      </c>
    </row>
    <row r="466" spans="2:2">
      <c r="B466">
        <f t="shared" si="7"/>
        <v>0</v>
      </c>
    </row>
    <row r="467" spans="2:2">
      <c r="B467">
        <f t="shared" si="7"/>
        <v>0</v>
      </c>
    </row>
    <row r="468" spans="2:2">
      <c r="B468">
        <f t="shared" si="7"/>
        <v>0</v>
      </c>
    </row>
    <row r="469" spans="2:2">
      <c r="B469">
        <f t="shared" si="7"/>
        <v>0</v>
      </c>
    </row>
    <row r="470" spans="2:2">
      <c r="B470">
        <f t="shared" si="7"/>
        <v>0</v>
      </c>
    </row>
    <row r="471" spans="2:2">
      <c r="B471">
        <f t="shared" si="7"/>
        <v>0</v>
      </c>
    </row>
    <row r="472" spans="2:2">
      <c r="B472">
        <f t="shared" si="7"/>
        <v>0</v>
      </c>
    </row>
    <row r="473" spans="2:2">
      <c r="B473">
        <f t="shared" si="7"/>
        <v>0</v>
      </c>
    </row>
    <row r="474" spans="2:2">
      <c r="B474">
        <f t="shared" si="7"/>
        <v>0</v>
      </c>
    </row>
    <row r="475" spans="2:2">
      <c r="B475">
        <f t="shared" si="7"/>
        <v>0</v>
      </c>
    </row>
    <row r="476" spans="2:2">
      <c r="B476">
        <f t="shared" si="7"/>
        <v>0</v>
      </c>
    </row>
    <row r="477" spans="2:2">
      <c r="B477">
        <f t="shared" si="7"/>
        <v>0</v>
      </c>
    </row>
    <row r="478" spans="2:2">
      <c r="B478">
        <f t="shared" si="7"/>
        <v>0</v>
      </c>
    </row>
    <row r="479" spans="2:2">
      <c r="B479">
        <f t="shared" si="7"/>
        <v>0</v>
      </c>
    </row>
    <row r="480" spans="2:2">
      <c r="B480">
        <f t="shared" si="7"/>
        <v>0</v>
      </c>
    </row>
    <row r="481" spans="2:2">
      <c r="B481">
        <f t="shared" si="7"/>
        <v>0</v>
      </c>
    </row>
    <row r="482" spans="2:2">
      <c r="B482">
        <f t="shared" si="7"/>
        <v>0</v>
      </c>
    </row>
    <row r="483" spans="2:2">
      <c r="B483">
        <f t="shared" si="7"/>
        <v>0</v>
      </c>
    </row>
    <row r="484" spans="2:2">
      <c r="B484">
        <f t="shared" si="7"/>
        <v>0</v>
      </c>
    </row>
    <row r="485" spans="2:2">
      <c r="B485">
        <f t="shared" si="7"/>
        <v>0</v>
      </c>
    </row>
    <row r="486" spans="2:2">
      <c r="B486">
        <f t="shared" si="7"/>
        <v>0</v>
      </c>
    </row>
    <row r="487" spans="2:2">
      <c r="B487">
        <f t="shared" si="7"/>
        <v>0</v>
      </c>
    </row>
    <row r="488" spans="2:2">
      <c r="B488">
        <f t="shared" si="7"/>
        <v>0</v>
      </c>
    </row>
    <row r="489" spans="2:2">
      <c r="B489">
        <f t="shared" si="7"/>
        <v>0</v>
      </c>
    </row>
    <row r="490" spans="2:2">
      <c r="B490">
        <f t="shared" si="7"/>
        <v>0</v>
      </c>
    </row>
    <row r="491" spans="2:2">
      <c r="B491">
        <f t="shared" si="7"/>
        <v>0</v>
      </c>
    </row>
    <row r="492" spans="2:2">
      <c r="B492">
        <f t="shared" si="7"/>
        <v>0</v>
      </c>
    </row>
    <row r="493" spans="2:2">
      <c r="B493">
        <f t="shared" si="7"/>
        <v>0</v>
      </c>
    </row>
    <row r="494" spans="2:2">
      <c r="B494">
        <f t="shared" si="7"/>
        <v>0</v>
      </c>
    </row>
    <row r="495" spans="2:2">
      <c r="B495">
        <f t="shared" si="7"/>
        <v>0</v>
      </c>
    </row>
    <row r="496" spans="2:2">
      <c r="B496">
        <f t="shared" si="7"/>
        <v>0</v>
      </c>
    </row>
    <row r="497" spans="2:2">
      <c r="B497">
        <f t="shared" si="7"/>
        <v>0</v>
      </c>
    </row>
    <row r="498" spans="2:2">
      <c r="B498">
        <f t="shared" si="7"/>
        <v>0</v>
      </c>
    </row>
    <row r="499" spans="2:2">
      <c r="B499">
        <f t="shared" si="7"/>
        <v>0</v>
      </c>
    </row>
    <row r="500" spans="2:2">
      <c r="B500">
        <f t="shared" si="7"/>
        <v>0</v>
      </c>
    </row>
    <row r="501" spans="2:2">
      <c r="B501">
        <f t="shared" si="7"/>
        <v>0</v>
      </c>
    </row>
    <row r="502" spans="2:2">
      <c r="B502">
        <f t="shared" si="7"/>
        <v>0</v>
      </c>
    </row>
    <row r="503" spans="2:2">
      <c r="B503">
        <f t="shared" si="7"/>
        <v>0</v>
      </c>
    </row>
    <row r="504" spans="2:2">
      <c r="B504">
        <f t="shared" si="7"/>
        <v>0</v>
      </c>
    </row>
    <row r="505" spans="2:2">
      <c r="B505">
        <f t="shared" si="7"/>
        <v>0</v>
      </c>
    </row>
    <row r="506" spans="2:2">
      <c r="B506">
        <f t="shared" si="7"/>
        <v>0</v>
      </c>
    </row>
    <row r="507" spans="2:2">
      <c r="B507">
        <f t="shared" si="7"/>
        <v>0</v>
      </c>
    </row>
    <row r="508" spans="2:2">
      <c r="B508">
        <f t="shared" si="7"/>
        <v>0</v>
      </c>
    </row>
    <row r="509" spans="2:2">
      <c r="B509">
        <f t="shared" si="7"/>
        <v>0</v>
      </c>
    </row>
    <row r="510" spans="2:2">
      <c r="B510">
        <f t="shared" si="7"/>
        <v>0</v>
      </c>
    </row>
    <row r="511" spans="2:2">
      <c r="B511">
        <f t="shared" si="7"/>
        <v>0</v>
      </c>
    </row>
    <row r="512" spans="2:2">
      <c r="B512">
        <f t="shared" si="7"/>
        <v>0</v>
      </c>
    </row>
    <row r="513" spans="2:2">
      <c r="B513">
        <f t="shared" si="7"/>
        <v>0</v>
      </c>
    </row>
    <row r="514" spans="2:2">
      <c r="B514">
        <f t="shared" ref="B514:B577" si="8">LEN(A514)</f>
        <v>0</v>
      </c>
    </row>
    <row r="515" spans="2:2">
      <c r="B515">
        <f t="shared" si="8"/>
        <v>0</v>
      </c>
    </row>
    <row r="516" spans="2:2">
      <c r="B516">
        <f t="shared" si="8"/>
        <v>0</v>
      </c>
    </row>
    <row r="517" spans="2:2">
      <c r="B517">
        <f t="shared" si="8"/>
        <v>0</v>
      </c>
    </row>
    <row r="518" spans="2:2">
      <c r="B518">
        <f t="shared" si="8"/>
        <v>0</v>
      </c>
    </row>
    <row r="519" spans="2:2">
      <c r="B519">
        <f t="shared" si="8"/>
        <v>0</v>
      </c>
    </row>
    <row r="520" spans="2:2">
      <c r="B520">
        <f t="shared" si="8"/>
        <v>0</v>
      </c>
    </row>
    <row r="521" spans="2:2">
      <c r="B521">
        <f t="shared" si="8"/>
        <v>0</v>
      </c>
    </row>
    <row r="522" spans="2:2">
      <c r="B522">
        <f t="shared" si="8"/>
        <v>0</v>
      </c>
    </row>
    <row r="523" spans="2:2">
      <c r="B523">
        <f t="shared" si="8"/>
        <v>0</v>
      </c>
    </row>
    <row r="524" spans="2:2">
      <c r="B524">
        <f t="shared" si="8"/>
        <v>0</v>
      </c>
    </row>
    <row r="525" spans="2:2">
      <c r="B525">
        <f t="shared" si="8"/>
        <v>0</v>
      </c>
    </row>
    <row r="526" spans="2:2">
      <c r="B526">
        <f t="shared" si="8"/>
        <v>0</v>
      </c>
    </row>
    <row r="527" spans="2:2">
      <c r="B527">
        <f t="shared" si="8"/>
        <v>0</v>
      </c>
    </row>
    <row r="528" spans="2:2">
      <c r="B528">
        <f t="shared" si="8"/>
        <v>0</v>
      </c>
    </row>
    <row r="529" spans="2:2">
      <c r="B529">
        <f t="shared" si="8"/>
        <v>0</v>
      </c>
    </row>
    <row r="530" spans="2:2">
      <c r="B530">
        <f t="shared" si="8"/>
        <v>0</v>
      </c>
    </row>
    <row r="531" spans="2:2">
      <c r="B531">
        <f t="shared" si="8"/>
        <v>0</v>
      </c>
    </row>
    <row r="532" spans="2:2">
      <c r="B532">
        <f t="shared" si="8"/>
        <v>0</v>
      </c>
    </row>
    <row r="533" spans="2:2">
      <c r="B533">
        <f t="shared" si="8"/>
        <v>0</v>
      </c>
    </row>
    <row r="534" spans="2:2">
      <c r="B534">
        <f t="shared" si="8"/>
        <v>0</v>
      </c>
    </row>
    <row r="535" spans="2:2">
      <c r="B535">
        <f t="shared" si="8"/>
        <v>0</v>
      </c>
    </row>
    <row r="536" spans="2:2">
      <c r="B536">
        <f t="shared" si="8"/>
        <v>0</v>
      </c>
    </row>
    <row r="537" spans="2:2">
      <c r="B537">
        <f t="shared" si="8"/>
        <v>0</v>
      </c>
    </row>
    <row r="538" spans="2:2">
      <c r="B538">
        <f t="shared" si="8"/>
        <v>0</v>
      </c>
    </row>
    <row r="539" spans="2:2">
      <c r="B539">
        <f t="shared" si="8"/>
        <v>0</v>
      </c>
    </row>
    <row r="540" spans="2:2">
      <c r="B540">
        <f t="shared" si="8"/>
        <v>0</v>
      </c>
    </row>
    <row r="541" spans="2:2">
      <c r="B541">
        <f t="shared" si="8"/>
        <v>0</v>
      </c>
    </row>
    <row r="542" spans="2:2">
      <c r="B542">
        <f t="shared" si="8"/>
        <v>0</v>
      </c>
    </row>
    <row r="543" spans="2:2">
      <c r="B543">
        <f t="shared" si="8"/>
        <v>0</v>
      </c>
    </row>
    <row r="544" spans="2:2">
      <c r="B544">
        <f t="shared" si="8"/>
        <v>0</v>
      </c>
    </row>
    <row r="545" spans="2:2">
      <c r="B545">
        <f t="shared" si="8"/>
        <v>0</v>
      </c>
    </row>
    <row r="546" spans="2:2">
      <c r="B546">
        <f t="shared" si="8"/>
        <v>0</v>
      </c>
    </row>
    <row r="547" spans="2:2">
      <c r="B547">
        <f t="shared" si="8"/>
        <v>0</v>
      </c>
    </row>
    <row r="548" spans="2:2">
      <c r="B548">
        <f t="shared" si="8"/>
        <v>0</v>
      </c>
    </row>
    <row r="549" spans="2:2">
      <c r="B549">
        <f t="shared" si="8"/>
        <v>0</v>
      </c>
    </row>
    <row r="550" spans="2:2">
      <c r="B550">
        <f t="shared" si="8"/>
        <v>0</v>
      </c>
    </row>
    <row r="551" spans="2:2">
      <c r="B551">
        <f t="shared" si="8"/>
        <v>0</v>
      </c>
    </row>
    <row r="552" spans="2:2">
      <c r="B552">
        <f t="shared" si="8"/>
        <v>0</v>
      </c>
    </row>
    <row r="553" spans="2:2">
      <c r="B553">
        <f t="shared" si="8"/>
        <v>0</v>
      </c>
    </row>
    <row r="554" spans="2:2">
      <c r="B554">
        <f t="shared" si="8"/>
        <v>0</v>
      </c>
    </row>
    <row r="555" spans="2:2">
      <c r="B555">
        <f t="shared" si="8"/>
        <v>0</v>
      </c>
    </row>
    <row r="556" spans="2:2">
      <c r="B556">
        <f t="shared" si="8"/>
        <v>0</v>
      </c>
    </row>
    <row r="557" spans="2:2">
      <c r="B557">
        <f t="shared" si="8"/>
        <v>0</v>
      </c>
    </row>
    <row r="558" spans="2:2">
      <c r="B558">
        <f t="shared" si="8"/>
        <v>0</v>
      </c>
    </row>
    <row r="559" spans="2:2">
      <c r="B559">
        <f t="shared" si="8"/>
        <v>0</v>
      </c>
    </row>
    <row r="560" spans="2:2">
      <c r="B560">
        <f t="shared" si="8"/>
        <v>0</v>
      </c>
    </row>
    <row r="561" spans="2:2">
      <c r="B561">
        <f t="shared" si="8"/>
        <v>0</v>
      </c>
    </row>
    <row r="562" spans="2:2">
      <c r="B562">
        <f t="shared" si="8"/>
        <v>0</v>
      </c>
    </row>
    <row r="563" spans="2:2">
      <c r="B563">
        <f t="shared" si="8"/>
        <v>0</v>
      </c>
    </row>
    <row r="564" spans="2:2">
      <c r="B564">
        <f t="shared" si="8"/>
        <v>0</v>
      </c>
    </row>
    <row r="565" spans="2:2">
      <c r="B565">
        <f t="shared" si="8"/>
        <v>0</v>
      </c>
    </row>
    <row r="566" spans="2:2">
      <c r="B566">
        <f t="shared" si="8"/>
        <v>0</v>
      </c>
    </row>
    <row r="567" spans="2:2">
      <c r="B567">
        <f t="shared" si="8"/>
        <v>0</v>
      </c>
    </row>
    <row r="568" spans="2:2">
      <c r="B568">
        <f t="shared" si="8"/>
        <v>0</v>
      </c>
    </row>
    <row r="569" spans="2:2">
      <c r="B569">
        <f t="shared" si="8"/>
        <v>0</v>
      </c>
    </row>
    <row r="570" spans="2:2">
      <c r="B570">
        <f t="shared" si="8"/>
        <v>0</v>
      </c>
    </row>
    <row r="571" spans="2:2">
      <c r="B571">
        <f t="shared" si="8"/>
        <v>0</v>
      </c>
    </row>
    <row r="572" spans="2:2">
      <c r="B572">
        <f t="shared" si="8"/>
        <v>0</v>
      </c>
    </row>
    <row r="573" spans="2:2">
      <c r="B573">
        <f t="shared" si="8"/>
        <v>0</v>
      </c>
    </row>
    <row r="574" spans="2:2">
      <c r="B574">
        <f t="shared" si="8"/>
        <v>0</v>
      </c>
    </row>
    <row r="575" spans="2:2">
      <c r="B575">
        <f t="shared" si="8"/>
        <v>0</v>
      </c>
    </row>
    <row r="576" spans="2:2">
      <c r="B576">
        <f t="shared" si="8"/>
        <v>0</v>
      </c>
    </row>
    <row r="577" spans="2:2">
      <c r="B577">
        <f t="shared" si="8"/>
        <v>0</v>
      </c>
    </row>
    <row r="578" spans="2:2">
      <c r="B578">
        <f t="shared" ref="B578:B641" si="9">LEN(A578)</f>
        <v>0</v>
      </c>
    </row>
    <row r="579" spans="2:2">
      <c r="B579">
        <f t="shared" si="9"/>
        <v>0</v>
      </c>
    </row>
    <row r="580" spans="2:2">
      <c r="B580">
        <f t="shared" si="9"/>
        <v>0</v>
      </c>
    </row>
    <row r="581" spans="2:2">
      <c r="B581">
        <f t="shared" si="9"/>
        <v>0</v>
      </c>
    </row>
    <row r="582" spans="2:2">
      <c r="B582">
        <f t="shared" si="9"/>
        <v>0</v>
      </c>
    </row>
    <row r="583" spans="2:2">
      <c r="B583">
        <f t="shared" si="9"/>
        <v>0</v>
      </c>
    </row>
    <row r="584" spans="2:2">
      <c r="B584">
        <f t="shared" si="9"/>
        <v>0</v>
      </c>
    </row>
    <row r="585" spans="2:2">
      <c r="B585">
        <f t="shared" si="9"/>
        <v>0</v>
      </c>
    </row>
    <row r="586" spans="2:2">
      <c r="B586">
        <f t="shared" si="9"/>
        <v>0</v>
      </c>
    </row>
    <row r="587" spans="2:2">
      <c r="B587">
        <f t="shared" si="9"/>
        <v>0</v>
      </c>
    </row>
    <row r="588" spans="2:2">
      <c r="B588">
        <f t="shared" si="9"/>
        <v>0</v>
      </c>
    </row>
    <row r="589" spans="2:2">
      <c r="B589">
        <f t="shared" si="9"/>
        <v>0</v>
      </c>
    </row>
    <row r="590" spans="2:2">
      <c r="B590">
        <f t="shared" si="9"/>
        <v>0</v>
      </c>
    </row>
    <row r="591" spans="2:2">
      <c r="B591">
        <f t="shared" si="9"/>
        <v>0</v>
      </c>
    </row>
    <row r="592" spans="2:2">
      <c r="B592">
        <f t="shared" si="9"/>
        <v>0</v>
      </c>
    </row>
    <row r="593" spans="2:2">
      <c r="B593">
        <f t="shared" si="9"/>
        <v>0</v>
      </c>
    </row>
    <row r="594" spans="2:2">
      <c r="B594">
        <f t="shared" si="9"/>
        <v>0</v>
      </c>
    </row>
    <row r="595" spans="2:2">
      <c r="B595">
        <f t="shared" si="9"/>
        <v>0</v>
      </c>
    </row>
    <row r="596" spans="2:2">
      <c r="B596">
        <f t="shared" si="9"/>
        <v>0</v>
      </c>
    </row>
    <row r="597" spans="2:2">
      <c r="B597">
        <f t="shared" si="9"/>
        <v>0</v>
      </c>
    </row>
    <row r="598" spans="2:2">
      <c r="B598">
        <f t="shared" si="9"/>
        <v>0</v>
      </c>
    </row>
    <row r="599" spans="2:2">
      <c r="B599">
        <f t="shared" si="9"/>
        <v>0</v>
      </c>
    </row>
    <row r="600" spans="2:2">
      <c r="B600">
        <f t="shared" si="9"/>
        <v>0</v>
      </c>
    </row>
    <row r="601" spans="2:2">
      <c r="B601">
        <f t="shared" si="9"/>
        <v>0</v>
      </c>
    </row>
    <row r="602" spans="2:2">
      <c r="B602">
        <f t="shared" si="9"/>
        <v>0</v>
      </c>
    </row>
    <row r="603" spans="2:2">
      <c r="B603">
        <f t="shared" si="9"/>
        <v>0</v>
      </c>
    </row>
    <row r="604" spans="2:2">
      <c r="B604">
        <f t="shared" si="9"/>
        <v>0</v>
      </c>
    </row>
    <row r="605" spans="2:2">
      <c r="B605">
        <f t="shared" si="9"/>
        <v>0</v>
      </c>
    </row>
    <row r="606" spans="2:2">
      <c r="B606">
        <f t="shared" si="9"/>
        <v>0</v>
      </c>
    </row>
    <row r="607" spans="2:2">
      <c r="B607">
        <f t="shared" si="9"/>
        <v>0</v>
      </c>
    </row>
    <row r="608" spans="2:2">
      <c r="B608">
        <f t="shared" si="9"/>
        <v>0</v>
      </c>
    </row>
    <row r="609" spans="2:2">
      <c r="B609">
        <f t="shared" si="9"/>
        <v>0</v>
      </c>
    </row>
    <row r="610" spans="2:2">
      <c r="B610">
        <f t="shared" si="9"/>
        <v>0</v>
      </c>
    </row>
    <row r="611" spans="2:2">
      <c r="B611">
        <f t="shared" si="9"/>
        <v>0</v>
      </c>
    </row>
    <row r="612" spans="2:2">
      <c r="B612">
        <f t="shared" si="9"/>
        <v>0</v>
      </c>
    </row>
    <row r="613" spans="2:2">
      <c r="B613">
        <f t="shared" si="9"/>
        <v>0</v>
      </c>
    </row>
    <row r="614" spans="2:2">
      <c r="B614">
        <f t="shared" si="9"/>
        <v>0</v>
      </c>
    </row>
    <row r="615" spans="2:2">
      <c r="B615">
        <f t="shared" si="9"/>
        <v>0</v>
      </c>
    </row>
    <row r="616" spans="2:2">
      <c r="B616">
        <f t="shared" si="9"/>
        <v>0</v>
      </c>
    </row>
    <row r="617" spans="2:2">
      <c r="B617">
        <f t="shared" si="9"/>
        <v>0</v>
      </c>
    </row>
    <row r="618" spans="2:2">
      <c r="B618">
        <f t="shared" si="9"/>
        <v>0</v>
      </c>
    </row>
    <row r="619" spans="2:2">
      <c r="B619">
        <f t="shared" si="9"/>
        <v>0</v>
      </c>
    </row>
    <row r="620" spans="2:2">
      <c r="B620">
        <f t="shared" si="9"/>
        <v>0</v>
      </c>
    </row>
    <row r="621" spans="2:2">
      <c r="B621">
        <f t="shared" si="9"/>
        <v>0</v>
      </c>
    </row>
    <row r="622" spans="2:2">
      <c r="B622">
        <f t="shared" si="9"/>
        <v>0</v>
      </c>
    </row>
    <row r="623" spans="2:2">
      <c r="B623">
        <f t="shared" si="9"/>
        <v>0</v>
      </c>
    </row>
    <row r="624" spans="2:2">
      <c r="B624">
        <f t="shared" si="9"/>
        <v>0</v>
      </c>
    </row>
    <row r="625" spans="2:2">
      <c r="B625">
        <f t="shared" si="9"/>
        <v>0</v>
      </c>
    </row>
    <row r="626" spans="2:2">
      <c r="B626">
        <f t="shared" si="9"/>
        <v>0</v>
      </c>
    </row>
    <row r="627" spans="2:2">
      <c r="B627">
        <f t="shared" si="9"/>
        <v>0</v>
      </c>
    </row>
    <row r="628" spans="2:2">
      <c r="B628">
        <f t="shared" si="9"/>
        <v>0</v>
      </c>
    </row>
    <row r="629" spans="2:2">
      <c r="B629">
        <f t="shared" si="9"/>
        <v>0</v>
      </c>
    </row>
    <row r="630" spans="2:2">
      <c r="B630">
        <f t="shared" si="9"/>
        <v>0</v>
      </c>
    </row>
    <row r="631" spans="2:2">
      <c r="B631">
        <f t="shared" si="9"/>
        <v>0</v>
      </c>
    </row>
    <row r="632" spans="2:2">
      <c r="B632">
        <f t="shared" si="9"/>
        <v>0</v>
      </c>
    </row>
    <row r="633" spans="2:2">
      <c r="B633">
        <f t="shared" si="9"/>
        <v>0</v>
      </c>
    </row>
    <row r="634" spans="2:2">
      <c r="B634">
        <f t="shared" si="9"/>
        <v>0</v>
      </c>
    </row>
    <row r="635" spans="2:2">
      <c r="B635">
        <f t="shared" si="9"/>
        <v>0</v>
      </c>
    </row>
    <row r="636" spans="2:2">
      <c r="B636">
        <f t="shared" si="9"/>
        <v>0</v>
      </c>
    </row>
    <row r="637" spans="2:2">
      <c r="B637">
        <f t="shared" si="9"/>
        <v>0</v>
      </c>
    </row>
    <row r="638" spans="2:2">
      <c r="B638">
        <f t="shared" si="9"/>
        <v>0</v>
      </c>
    </row>
    <row r="639" spans="2:2">
      <c r="B639">
        <f t="shared" si="9"/>
        <v>0</v>
      </c>
    </row>
    <row r="640" spans="2:2">
      <c r="B640">
        <f t="shared" si="9"/>
        <v>0</v>
      </c>
    </row>
    <row r="641" spans="2:2">
      <c r="B641">
        <f t="shared" si="9"/>
        <v>0</v>
      </c>
    </row>
    <row r="642" spans="2:2">
      <c r="B642">
        <f t="shared" ref="B642:B705" si="10">LEN(A642)</f>
        <v>0</v>
      </c>
    </row>
    <row r="643" spans="2:2">
      <c r="B643">
        <f t="shared" si="10"/>
        <v>0</v>
      </c>
    </row>
    <row r="644" spans="2:2">
      <c r="B644">
        <f t="shared" si="10"/>
        <v>0</v>
      </c>
    </row>
    <row r="645" spans="2:2">
      <c r="B645">
        <f t="shared" si="10"/>
        <v>0</v>
      </c>
    </row>
    <row r="646" spans="2:2">
      <c r="B646">
        <f t="shared" si="10"/>
        <v>0</v>
      </c>
    </row>
    <row r="647" spans="2:2">
      <c r="B647">
        <f t="shared" si="10"/>
        <v>0</v>
      </c>
    </row>
    <row r="648" spans="2:2">
      <c r="B648">
        <f t="shared" si="10"/>
        <v>0</v>
      </c>
    </row>
    <row r="649" spans="2:2">
      <c r="B649">
        <f t="shared" si="10"/>
        <v>0</v>
      </c>
    </row>
    <row r="650" spans="2:2">
      <c r="B650">
        <f t="shared" si="10"/>
        <v>0</v>
      </c>
    </row>
    <row r="651" spans="2:2">
      <c r="B651">
        <f t="shared" si="10"/>
        <v>0</v>
      </c>
    </row>
    <row r="652" spans="2:2">
      <c r="B652">
        <f t="shared" si="10"/>
        <v>0</v>
      </c>
    </row>
    <row r="653" spans="2:2">
      <c r="B653">
        <f t="shared" si="10"/>
        <v>0</v>
      </c>
    </row>
    <row r="654" spans="2:2">
      <c r="B654">
        <f t="shared" si="10"/>
        <v>0</v>
      </c>
    </row>
    <row r="655" spans="2:2">
      <c r="B655">
        <f t="shared" si="10"/>
        <v>0</v>
      </c>
    </row>
    <row r="656" spans="2:2">
      <c r="B656">
        <f t="shared" si="10"/>
        <v>0</v>
      </c>
    </row>
    <row r="657" spans="2:2">
      <c r="B657">
        <f t="shared" si="10"/>
        <v>0</v>
      </c>
    </row>
    <row r="658" spans="2:2">
      <c r="B658">
        <f t="shared" si="10"/>
        <v>0</v>
      </c>
    </row>
    <row r="659" spans="2:2">
      <c r="B659">
        <f t="shared" si="10"/>
        <v>0</v>
      </c>
    </row>
    <row r="660" spans="2:2">
      <c r="B660">
        <f t="shared" si="10"/>
        <v>0</v>
      </c>
    </row>
    <row r="661" spans="2:2">
      <c r="B661">
        <f t="shared" si="10"/>
        <v>0</v>
      </c>
    </row>
    <row r="662" spans="2:2">
      <c r="B662">
        <f t="shared" si="10"/>
        <v>0</v>
      </c>
    </row>
    <row r="663" spans="2:2">
      <c r="B663">
        <f t="shared" si="10"/>
        <v>0</v>
      </c>
    </row>
    <row r="664" spans="2:2">
      <c r="B664">
        <f t="shared" si="10"/>
        <v>0</v>
      </c>
    </row>
    <row r="665" spans="2:2">
      <c r="B665">
        <f t="shared" si="10"/>
        <v>0</v>
      </c>
    </row>
    <row r="666" spans="2:2">
      <c r="B666">
        <f t="shared" si="10"/>
        <v>0</v>
      </c>
    </row>
    <row r="667" spans="2:2">
      <c r="B667">
        <f t="shared" si="10"/>
        <v>0</v>
      </c>
    </row>
    <row r="668" spans="2:2">
      <c r="B668">
        <f t="shared" si="10"/>
        <v>0</v>
      </c>
    </row>
    <row r="669" spans="2:2">
      <c r="B669">
        <f t="shared" si="10"/>
        <v>0</v>
      </c>
    </row>
    <row r="670" spans="2:2">
      <c r="B670">
        <f t="shared" si="10"/>
        <v>0</v>
      </c>
    </row>
    <row r="671" spans="2:2">
      <c r="B671">
        <f t="shared" si="10"/>
        <v>0</v>
      </c>
    </row>
    <row r="672" spans="2:2">
      <c r="B672">
        <f t="shared" si="10"/>
        <v>0</v>
      </c>
    </row>
    <row r="673" spans="2:2">
      <c r="B673">
        <f t="shared" si="10"/>
        <v>0</v>
      </c>
    </row>
    <row r="674" spans="2:2">
      <c r="B674">
        <f t="shared" si="10"/>
        <v>0</v>
      </c>
    </row>
    <row r="675" spans="2:2">
      <c r="B675">
        <f t="shared" si="10"/>
        <v>0</v>
      </c>
    </row>
    <row r="676" spans="2:2">
      <c r="B676">
        <f t="shared" si="10"/>
        <v>0</v>
      </c>
    </row>
    <row r="677" spans="2:2">
      <c r="B677">
        <f t="shared" si="10"/>
        <v>0</v>
      </c>
    </row>
    <row r="678" spans="2:2">
      <c r="B678">
        <f t="shared" si="10"/>
        <v>0</v>
      </c>
    </row>
    <row r="679" spans="2:2">
      <c r="B679">
        <f t="shared" si="10"/>
        <v>0</v>
      </c>
    </row>
    <row r="680" spans="2:2">
      <c r="B680">
        <f t="shared" si="10"/>
        <v>0</v>
      </c>
    </row>
    <row r="681" spans="2:2">
      <c r="B681">
        <f t="shared" si="10"/>
        <v>0</v>
      </c>
    </row>
    <row r="682" spans="2:2">
      <c r="B682">
        <f t="shared" si="10"/>
        <v>0</v>
      </c>
    </row>
    <row r="683" spans="2:2">
      <c r="B683">
        <f t="shared" si="10"/>
        <v>0</v>
      </c>
    </row>
    <row r="684" spans="2:2">
      <c r="B684">
        <f t="shared" si="10"/>
        <v>0</v>
      </c>
    </row>
    <row r="685" spans="2:2">
      <c r="B685">
        <f t="shared" si="10"/>
        <v>0</v>
      </c>
    </row>
    <row r="686" spans="2:2">
      <c r="B686">
        <f t="shared" si="10"/>
        <v>0</v>
      </c>
    </row>
    <row r="687" spans="2:2">
      <c r="B687">
        <f t="shared" si="10"/>
        <v>0</v>
      </c>
    </row>
    <row r="688" spans="2:2">
      <c r="B688">
        <f t="shared" si="10"/>
        <v>0</v>
      </c>
    </row>
    <row r="689" spans="2:2">
      <c r="B689">
        <f t="shared" si="10"/>
        <v>0</v>
      </c>
    </row>
    <row r="690" spans="2:2">
      <c r="B690">
        <f t="shared" si="10"/>
        <v>0</v>
      </c>
    </row>
    <row r="691" spans="2:2">
      <c r="B691">
        <f t="shared" si="10"/>
        <v>0</v>
      </c>
    </row>
    <row r="692" spans="2:2">
      <c r="B692">
        <f t="shared" si="10"/>
        <v>0</v>
      </c>
    </row>
    <row r="693" spans="2:2">
      <c r="B693">
        <f t="shared" si="10"/>
        <v>0</v>
      </c>
    </row>
    <row r="694" spans="2:2">
      <c r="B694">
        <f t="shared" si="10"/>
        <v>0</v>
      </c>
    </row>
    <row r="695" spans="2:2">
      <c r="B695">
        <f t="shared" si="10"/>
        <v>0</v>
      </c>
    </row>
    <row r="696" spans="2:2">
      <c r="B696">
        <f t="shared" si="10"/>
        <v>0</v>
      </c>
    </row>
    <row r="697" spans="2:2">
      <c r="B697">
        <f t="shared" si="10"/>
        <v>0</v>
      </c>
    </row>
    <row r="698" spans="2:2">
      <c r="B698">
        <f t="shared" si="10"/>
        <v>0</v>
      </c>
    </row>
    <row r="699" spans="2:2">
      <c r="B699">
        <f t="shared" si="10"/>
        <v>0</v>
      </c>
    </row>
    <row r="700" spans="2:2">
      <c r="B700">
        <f t="shared" si="10"/>
        <v>0</v>
      </c>
    </row>
    <row r="701" spans="2:2">
      <c r="B701">
        <f t="shared" si="10"/>
        <v>0</v>
      </c>
    </row>
    <row r="702" spans="2:2">
      <c r="B702">
        <f t="shared" si="10"/>
        <v>0</v>
      </c>
    </row>
    <row r="703" spans="2:2">
      <c r="B703">
        <f t="shared" si="10"/>
        <v>0</v>
      </c>
    </row>
    <row r="704" spans="2:2">
      <c r="B704">
        <f t="shared" si="10"/>
        <v>0</v>
      </c>
    </row>
    <row r="705" spans="2:2">
      <c r="B705">
        <f t="shared" si="10"/>
        <v>0</v>
      </c>
    </row>
    <row r="706" spans="2:2">
      <c r="B706">
        <f t="shared" ref="B706:B769" si="11">LEN(A706)</f>
        <v>0</v>
      </c>
    </row>
    <row r="707" spans="2:2">
      <c r="B707">
        <f t="shared" si="11"/>
        <v>0</v>
      </c>
    </row>
    <row r="708" spans="2:2">
      <c r="B708">
        <f t="shared" si="11"/>
        <v>0</v>
      </c>
    </row>
    <row r="709" spans="2:2">
      <c r="B709">
        <f t="shared" si="11"/>
        <v>0</v>
      </c>
    </row>
    <row r="710" spans="2:2">
      <c r="B710">
        <f t="shared" si="11"/>
        <v>0</v>
      </c>
    </row>
    <row r="711" spans="2:2">
      <c r="B711">
        <f t="shared" si="11"/>
        <v>0</v>
      </c>
    </row>
    <row r="712" spans="2:2">
      <c r="B712">
        <f t="shared" si="11"/>
        <v>0</v>
      </c>
    </row>
    <row r="713" spans="2:2">
      <c r="B713">
        <f t="shared" si="11"/>
        <v>0</v>
      </c>
    </row>
    <row r="714" spans="2:2">
      <c r="B714">
        <f t="shared" si="11"/>
        <v>0</v>
      </c>
    </row>
    <row r="715" spans="2:2">
      <c r="B715">
        <f t="shared" si="11"/>
        <v>0</v>
      </c>
    </row>
    <row r="716" spans="2:2">
      <c r="B716">
        <f t="shared" si="11"/>
        <v>0</v>
      </c>
    </row>
    <row r="717" spans="2:2">
      <c r="B717">
        <f t="shared" si="11"/>
        <v>0</v>
      </c>
    </row>
    <row r="718" spans="2:2">
      <c r="B718">
        <f t="shared" si="11"/>
        <v>0</v>
      </c>
    </row>
    <row r="719" spans="2:2">
      <c r="B719">
        <f t="shared" si="11"/>
        <v>0</v>
      </c>
    </row>
    <row r="720" spans="2:2">
      <c r="B720">
        <f t="shared" si="11"/>
        <v>0</v>
      </c>
    </row>
    <row r="721" spans="2:2">
      <c r="B721">
        <f t="shared" si="11"/>
        <v>0</v>
      </c>
    </row>
    <row r="722" spans="2:2">
      <c r="B722">
        <f t="shared" si="11"/>
        <v>0</v>
      </c>
    </row>
    <row r="723" spans="2:2">
      <c r="B723">
        <f t="shared" si="11"/>
        <v>0</v>
      </c>
    </row>
    <row r="724" spans="2:2">
      <c r="B724">
        <f t="shared" si="11"/>
        <v>0</v>
      </c>
    </row>
    <row r="725" spans="2:2">
      <c r="B725">
        <f t="shared" si="11"/>
        <v>0</v>
      </c>
    </row>
    <row r="726" spans="2:2">
      <c r="B726">
        <f t="shared" si="11"/>
        <v>0</v>
      </c>
    </row>
    <row r="727" spans="2:2">
      <c r="B727">
        <f t="shared" si="11"/>
        <v>0</v>
      </c>
    </row>
    <row r="728" spans="2:2">
      <c r="B728">
        <f t="shared" si="11"/>
        <v>0</v>
      </c>
    </row>
    <row r="729" spans="2:2">
      <c r="B729">
        <f t="shared" si="11"/>
        <v>0</v>
      </c>
    </row>
    <row r="730" spans="2:2">
      <c r="B730">
        <f t="shared" si="11"/>
        <v>0</v>
      </c>
    </row>
    <row r="731" spans="2:2">
      <c r="B731">
        <f t="shared" si="11"/>
        <v>0</v>
      </c>
    </row>
    <row r="732" spans="2:2">
      <c r="B732">
        <f t="shared" si="11"/>
        <v>0</v>
      </c>
    </row>
    <row r="733" spans="2:2">
      <c r="B733">
        <f t="shared" si="11"/>
        <v>0</v>
      </c>
    </row>
    <row r="734" spans="2:2">
      <c r="B734">
        <f t="shared" si="11"/>
        <v>0</v>
      </c>
    </row>
    <row r="735" spans="2:2">
      <c r="B735">
        <f t="shared" si="11"/>
        <v>0</v>
      </c>
    </row>
    <row r="736" spans="2:2">
      <c r="B736">
        <f t="shared" si="11"/>
        <v>0</v>
      </c>
    </row>
    <row r="737" spans="2:2">
      <c r="B737">
        <f t="shared" si="11"/>
        <v>0</v>
      </c>
    </row>
    <row r="738" spans="2:2">
      <c r="B738">
        <f t="shared" si="11"/>
        <v>0</v>
      </c>
    </row>
    <row r="739" spans="2:2">
      <c r="B739">
        <f t="shared" si="11"/>
        <v>0</v>
      </c>
    </row>
    <row r="740" spans="2:2">
      <c r="B740">
        <f t="shared" si="11"/>
        <v>0</v>
      </c>
    </row>
    <row r="741" spans="2:2">
      <c r="B741">
        <f t="shared" si="11"/>
        <v>0</v>
      </c>
    </row>
    <row r="742" spans="2:2">
      <c r="B742">
        <f t="shared" si="11"/>
        <v>0</v>
      </c>
    </row>
    <row r="743" spans="2:2">
      <c r="B743">
        <f t="shared" si="11"/>
        <v>0</v>
      </c>
    </row>
    <row r="744" spans="2:2">
      <c r="B744">
        <f t="shared" si="11"/>
        <v>0</v>
      </c>
    </row>
    <row r="745" spans="2:2">
      <c r="B745">
        <f t="shared" si="11"/>
        <v>0</v>
      </c>
    </row>
    <row r="746" spans="2:2">
      <c r="B746">
        <f t="shared" si="11"/>
        <v>0</v>
      </c>
    </row>
    <row r="747" spans="2:2">
      <c r="B747">
        <f t="shared" si="11"/>
        <v>0</v>
      </c>
    </row>
    <row r="748" spans="2:2">
      <c r="B748">
        <f t="shared" si="11"/>
        <v>0</v>
      </c>
    </row>
    <row r="749" spans="2:2">
      <c r="B749">
        <f t="shared" si="11"/>
        <v>0</v>
      </c>
    </row>
    <row r="750" spans="2:2">
      <c r="B750">
        <f t="shared" si="11"/>
        <v>0</v>
      </c>
    </row>
    <row r="751" spans="2:2">
      <c r="B751">
        <f t="shared" si="11"/>
        <v>0</v>
      </c>
    </row>
    <row r="752" spans="2:2">
      <c r="B752">
        <f t="shared" si="11"/>
        <v>0</v>
      </c>
    </row>
    <row r="753" spans="2:2">
      <c r="B753">
        <f t="shared" si="11"/>
        <v>0</v>
      </c>
    </row>
    <row r="754" spans="2:2">
      <c r="B754">
        <f t="shared" si="11"/>
        <v>0</v>
      </c>
    </row>
    <row r="755" spans="2:2">
      <c r="B755">
        <f t="shared" si="11"/>
        <v>0</v>
      </c>
    </row>
    <row r="756" spans="2:2">
      <c r="B756">
        <f t="shared" si="11"/>
        <v>0</v>
      </c>
    </row>
    <row r="757" spans="2:2">
      <c r="B757">
        <f t="shared" si="11"/>
        <v>0</v>
      </c>
    </row>
    <row r="758" spans="2:2">
      <c r="B758">
        <f t="shared" si="11"/>
        <v>0</v>
      </c>
    </row>
    <row r="759" spans="2:2">
      <c r="B759">
        <f t="shared" si="11"/>
        <v>0</v>
      </c>
    </row>
    <row r="760" spans="2:2">
      <c r="B760">
        <f t="shared" si="11"/>
        <v>0</v>
      </c>
    </row>
    <row r="761" spans="2:2">
      <c r="B761">
        <f t="shared" si="11"/>
        <v>0</v>
      </c>
    </row>
    <row r="762" spans="2:2">
      <c r="B762">
        <f t="shared" si="11"/>
        <v>0</v>
      </c>
    </row>
    <row r="763" spans="2:2">
      <c r="B763">
        <f t="shared" si="11"/>
        <v>0</v>
      </c>
    </row>
    <row r="764" spans="2:2">
      <c r="B764">
        <f t="shared" si="11"/>
        <v>0</v>
      </c>
    </row>
    <row r="765" spans="2:2">
      <c r="B765">
        <f t="shared" si="11"/>
        <v>0</v>
      </c>
    </row>
    <row r="766" spans="2:2">
      <c r="B766">
        <f t="shared" si="11"/>
        <v>0</v>
      </c>
    </row>
    <row r="767" spans="2:2">
      <c r="B767">
        <f t="shared" si="11"/>
        <v>0</v>
      </c>
    </row>
    <row r="768" spans="2:2">
      <c r="B768">
        <f t="shared" si="11"/>
        <v>0</v>
      </c>
    </row>
    <row r="769" spans="2:2">
      <c r="B769">
        <f t="shared" si="11"/>
        <v>0</v>
      </c>
    </row>
    <row r="770" spans="2:2">
      <c r="B770">
        <f t="shared" ref="B770:B833" si="12">LEN(A770)</f>
        <v>0</v>
      </c>
    </row>
    <row r="771" spans="2:2">
      <c r="B771">
        <f t="shared" si="12"/>
        <v>0</v>
      </c>
    </row>
    <row r="772" spans="2:2">
      <c r="B772">
        <f t="shared" si="12"/>
        <v>0</v>
      </c>
    </row>
    <row r="773" spans="2:2">
      <c r="B773">
        <f t="shared" si="12"/>
        <v>0</v>
      </c>
    </row>
    <row r="774" spans="2:2">
      <c r="B774">
        <f t="shared" si="12"/>
        <v>0</v>
      </c>
    </row>
    <row r="775" spans="2:2">
      <c r="B775">
        <f t="shared" si="12"/>
        <v>0</v>
      </c>
    </row>
    <row r="776" spans="2:2">
      <c r="B776">
        <f t="shared" si="12"/>
        <v>0</v>
      </c>
    </row>
    <row r="777" spans="2:2">
      <c r="B777">
        <f t="shared" si="12"/>
        <v>0</v>
      </c>
    </row>
    <row r="778" spans="2:2">
      <c r="B778">
        <f t="shared" si="12"/>
        <v>0</v>
      </c>
    </row>
    <row r="779" spans="2:2">
      <c r="B779">
        <f t="shared" si="12"/>
        <v>0</v>
      </c>
    </row>
    <row r="780" spans="2:2">
      <c r="B780">
        <f t="shared" si="12"/>
        <v>0</v>
      </c>
    </row>
    <row r="781" spans="2:2">
      <c r="B781">
        <f t="shared" si="12"/>
        <v>0</v>
      </c>
    </row>
    <row r="782" spans="2:2">
      <c r="B782">
        <f t="shared" si="12"/>
        <v>0</v>
      </c>
    </row>
    <row r="783" spans="2:2">
      <c r="B783">
        <f t="shared" si="12"/>
        <v>0</v>
      </c>
    </row>
    <row r="784" spans="2:2">
      <c r="B784">
        <f t="shared" si="12"/>
        <v>0</v>
      </c>
    </row>
    <row r="785" spans="2:2">
      <c r="B785">
        <f t="shared" si="12"/>
        <v>0</v>
      </c>
    </row>
    <row r="786" spans="2:2">
      <c r="B786">
        <f t="shared" si="12"/>
        <v>0</v>
      </c>
    </row>
    <row r="787" spans="2:2">
      <c r="B787">
        <f t="shared" si="12"/>
        <v>0</v>
      </c>
    </row>
    <row r="788" spans="2:2">
      <c r="B788">
        <f t="shared" si="12"/>
        <v>0</v>
      </c>
    </row>
    <row r="789" spans="2:2">
      <c r="B789">
        <f t="shared" si="12"/>
        <v>0</v>
      </c>
    </row>
    <row r="790" spans="2:2">
      <c r="B790">
        <f t="shared" si="12"/>
        <v>0</v>
      </c>
    </row>
    <row r="791" spans="2:2">
      <c r="B791">
        <f t="shared" si="12"/>
        <v>0</v>
      </c>
    </row>
    <row r="792" spans="2:2">
      <c r="B792">
        <f t="shared" si="12"/>
        <v>0</v>
      </c>
    </row>
    <row r="793" spans="2:2">
      <c r="B793">
        <f t="shared" si="12"/>
        <v>0</v>
      </c>
    </row>
    <row r="794" spans="2:2">
      <c r="B794">
        <f t="shared" si="12"/>
        <v>0</v>
      </c>
    </row>
    <row r="795" spans="2:2">
      <c r="B795">
        <f t="shared" si="12"/>
        <v>0</v>
      </c>
    </row>
    <row r="796" spans="2:2">
      <c r="B796">
        <f t="shared" si="12"/>
        <v>0</v>
      </c>
    </row>
    <row r="797" spans="2:2">
      <c r="B797">
        <f t="shared" si="12"/>
        <v>0</v>
      </c>
    </row>
    <row r="798" spans="2:2">
      <c r="B798">
        <f t="shared" si="12"/>
        <v>0</v>
      </c>
    </row>
    <row r="799" spans="2:2">
      <c r="B799">
        <f t="shared" si="12"/>
        <v>0</v>
      </c>
    </row>
    <row r="800" spans="2:2">
      <c r="B800">
        <f t="shared" si="12"/>
        <v>0</v>
      </c>
    </row>
    <row r="801" spans="2:2">
      <c r="B801">
        <f t="shared" si="12"/>
        <v>0</v>
      </c>
    </row>
    <row r="802" spans="2:2">
      <c r="B802">
        <f t="shared" si="12"/>
        <v>0</v>
      </c>
    </row>
    <row r="803" spans="2:2">
      <c r="B803">
        <f t="shared" si="12"/>
        <v>0</v>
      </c>
    </row>
    <row r="804" spans="2:2">
      <c r="B804">
        <f t="shared" si="12"/>
        <v>0</v>
      </c>
    </row>
    <row r="805" spans="2:2">
      <c r="B805">
        <f t="shared" si="12"/>
        <v>0</v>
      </c>
    </row>
    <row r="806" spans="2:2">
      <c r="B806">
        <f t="shared" si="12"/>
        <v>0</v>
      </c>
    </row>
    <row r="807" spans="2:2">
      <c r="B807">
        <f t="shared" si="12"/>
        <v>0</v>
      </c>
    </row>
    <row r="808" spans="2:2">
      <c r="B808">
        <f t="shared" si="12"/>
        <v>0</v>
      </c>
    </row>
    <row r="809" spans="2:2">
      <c r="B809">
        <f t="shared" si="12"/>
        <v>0</v>
      </c>
    </row>
    <row r="810" spans="2:2">
      <c r="B810">
        <f t="shared" si="12"/>
        <v>0</v>
      </c>
    </row>
    <row r="811" spans="2:2">
      <c r="B811">
        <f t="shared" si="12"/>
        <v>0</v>
      </c>
    </row>
    <row r="812" spans="2:2">
      <c r="B812">
        <f t="shared" si="12"/>
        <v>0</v>
      </c>
    </row>
    <row r="813" spans="2:2">
      <c r="B813">
        <f t="shared" si="12"/>
        <v>0</v>
      </c>
    </row>
    <row r="814" spans="2:2">
      <c r="B814">
        <f t="shared" si="12"/>
        <v>0</v>
      </c>
    </row>
    <row r="815" spans="2:2">
      <c r="B815">
        <f t="shared" si="12"/>
        <v>0</v>
      </c>
    </row>
    <row r="816" spans="2:2">
      <c r="B816">
        <f t="shared" si="12"/>
        <v>0</v>
      </c>
    </row>
    <row r="817" spans="2:2">
      <c r="B817">
        <f t="shared" si="12"/>
        <v>0</v>
      </c>
    </row>
    <row r="818" spans="2:2">
      <c r="B818">
        <f t="shared" si="12"/>
        <v>0</v>
      </c>
    </row>
    <row r="819" spans="2:2">
      <c r="B819">
        <f t="shared" si="12"/>
        <v>0</v>
      </c>
    </row>
    <row r="820" spans="2:2">
      <c r="B820">
        <f t="shared" si="12"/>
        <v>0</v>
      </c>
    </row>
    <row r="821" spans="2:2">
      <c r="B821">
        <f t="shared" si="12"/>
        <v>0</v>
      </c>
    </row>
    <row r="822" spans="2:2">
      <c r="B822">
        <f t="shared" si="12"/>
        <v>0</v>
      </c>
    </row>
    <row r="823" spans="2:2">
      <c r="B823">
        <f t="shared" si="12"/>
        <v>0</v>
      </c>
    </row>
    <row r="824" spans="2:2">
      <c r="B824">
        <f t="shared" si="12"/>
        <v>0</v>
      </c>
    </row>
    <row r="825" spans="2:2">
      <c r="B825">
        <f t="shared" si="12"/>
        <v>0</v>
      </c>
    </row>
    <row r="826" spans="2:2">
      <c r="B826">
        <f t="shared" si="12"/>
        <v>0</v>
      </c>
    </row>
    <row r="827" spans="2:2">
      <c r="B827">
        <f t="shared" si="12"/>
        <v>0</v>
      </c>
    </row>
    <row r="828" spans="2:2">
      <c r="B828">
        <f t="shared" si="12"/>
        <v>0</v>
      </c>
    </row>
    <row r="829" spans="2:2">
      <c r="B829">
        <f t="shared" si="12"/>
        <v>0</v>
      </c>
    </row>
    <row r="830" spans="2:2">
      <c r="B830">
        <f t="shared" si="12"/>
        <v>0</v>
      </c>
    </row>
    <row r="831" spans="2:2">
      <c r="B831">
        <f t="shared" si="12"/>
        <v>0</v>
      </c>
    </row>
    <row r="832" spans="2:2">
      <c r="B832">
        <f t="shared" si="12"/>
        <v>0</v>
      </c>
    </row>
    <row r="833" spans="2:2">
      <c r="B833">
        <f t="shared" si="12"/>
        <v>0</v>
      </c>
    </row>
    <row r="834" spans="2:2">
      <c r="B834">
        <f t="shared" ref="B834:B897" si="13">LEN(A834)</f>
        <v>0</v>
      </c>
    </row>
    <row r="835" spans="2:2">
      <c r="B835">
        <f t="shared" si="13"/>
        <v>0</v>
      </c>
    </row>
    <row r="836" spans="2:2">
      <c r="B836">
        <f t="shared" si="13"/>
        <v>0</v>
      </c>
    </row>
    <row r="837" spans="2:2">
      <c r="B837">
        <f t="shared" si="13"/>
        <v>0</v>
      </c>
    </row>
    <row r="838" spans="2:2">
      <c r="B838">
        <f t="shared" si="13"/>
        <v>0</v>
      </c>
    </row>
    <row r="839" spans="2:2">
      <c r="B839">
        <f t="shared" si="13"/>
        <v>0</v>
      </c>
    </row>
    <row r="840" spans="2:2">
      <c r="B840">
        <f t="shared" si="13"/>
        <v>0</v>
      </c>
    </row>
    <row r="841" spans="2:2">
      <c r="B841">
        <f t="shared" si="13"/>
        <v>0</v>
      </c>
    </row>
    <row r="842" spans="2:2">
      <c r="B842">
        <f t="shared" si="13"/>
        <v>0</v>
      </c>
    </row>
    <row r="843" spans="2:2">
      <c r="B843">
        <f t="shared" si="13"/>
        <v>0</v>
      </c>
    </row>
    <row r="844" spans="2:2">
      <c r="B844">
        <f t="shared" si="13"/>
        <v>0</v>
      </c>
    </row>
    <row r="845" spans="2:2">
      <c r="B845">
        <f t="shared" si="13"/>
        <v>0</v>
      </c>
    </row>
    <row r="846" spans="2:2">
      <c r="B846">
        <f t="shared" si="13"/>
        <v>0</v>
      </c>
    </row>
    <row r="847" spans="2:2">
      <c r="B847">
        <f t="shared" si="13"/>
        <v>0</v>
      </c>
    </row>
    <row r="848" spans="2:2">
      <c r="B848">
        <f t="shared" si="13"/>
        <v>0</v>
      </c>
    </row>
    <row r="849" spans="2:2">
      <c r="B849">
        <f t="shared" si="13"/>
        <v>0</v>
      </c>
    </row>
    <row r="850" spans="2:2">
      <c r="B850">
        <f t="shared" si="13"/>
        <v>0</v>
      </c>
    </row>
    <row r="851" spans="2:2">
      <c r="B851">
        <f t="shared" si="13"/>
        <v>0</v>
      </c>
    </row>
    <row r="852" spans="2:2">
      <c r="B852">
        <f t="shared" si="13"/>
        <v>0</v>
      </c>
    </row>
    <row r="853" spans="2:2">
      <c r="B853">
        <f t="shared" si="13"/>
        <v>0</v>
      </c>
    </row>
    <row r="854" spans="2:2">
      <c r="B854">
        <f t="shared" si="13"/>
        <v>0</v>
      </c>
    </row>
    <row r="855" spans="2:2">
      <c r="B855">
        <f t="shared" si="13"/>
        <v>0</v>
      </c>
    </row>
    <row r="856" spans="2:2">
      <c r="B856">
        <f t="shared" si="13"/>
        <v>0</v>
      </c>
    </row>
    <row r="857" spans="2:2">
      <c r="B857">
        <f t="shared" si="13"/>
        <v>0</v>
      </c>
    </row>
    <row r="858" spans="2:2">
      <c r="B858">
        <f t="shared" si="13"/>
        <v>0</v>
      </c>
    </row>
    <row r="859" spans="2:2">
      <c r="B859">
        <f t="shared" si="13"/>
        <v>0</v>
      </c>
    </row>
    <row r="860" spans="2:2">
      <c r="B860">
        <f t="shared" si="13"/>
        <v>0</v>
      </c>
    </row>
    <row r="861" spans="2:2">
      <c r="B861">
        <f t="shared" si="13"/>
        <v>0</v>
      </c>
    </row>
    <row r="862" spans="2:2">
      <c r="B862">
        <f t="shared" si="13"/>
        <v>0</v>
      </c>
    </row>
    <row r="863" spans="2:2">
      <c r="B863">
        <f t="shared" si="13"/>
        <v>0</v>
      </c>
    </row>
    <row r="864" spans="2:2">
      <c r="B864">
        <f t="shared" si="13"/>
        <v>0</v>
      </c>
    </row>
    <row r="865" spans="2:2">
      <c r="B865">
        <f t="shared" si="13"/>
        <v>0</v>
      </c>
    </row>
    <row r="866" spans="2:2">
      <c r="B866">
        <f t="shared" si="13"/>
        <v>0</v>
      </c>
    </row>
    <row r="867" spans="2:2">
      <c r="B867">
        <f t="shared" si="13"/>
        <v>0</v>
      </c>
    </row>
    <row r="868" spans="2:2">
      <c r="B868">
        <f t="shared" si="13"/>
        <v>0</v>
      </c>
    </row>
    <row r="869" spans="2:2">
      <c r="B869">
        <f t="shared" si="13"/>
        <v>0</v>
      </c>
    </row>
    <row r="870" spans="2:2">
      <c r="B870">
        <f t="shared" si="13"/>
        <v>0</v>
      </c>
    </row>
    <row r="871" spans="2:2">
      <c r="B871">
        <f t="shared" si="13"/>
        <v>0</v>
      </c>
    </row>
    <row r="872" spans="2:2">
      <c r="B872">
        <f t="shared" si="13"/>
        <v>0</v>
      </c>
    </row>
    <row r="873" spans="2:2">
      <c r="B873">
        <f t="shared" si="13"/>
        <v>0</v>
      </c>
    </row>
    <row r="874" spans="2:2">
      <c r="B874">
        <f t="shared" si="13"/>
        <v>0</v>
      </c>
    </row>
    <row r="875" spans="2:2">
      <c r="B875">
        <f t="shared" si="13"/>
        <v>0</v>
      </c>
    </row>
    <row r="876" spans="2:2">
      <c r="B876">
        <f t="shared" si="13"/>
        <v>0</v>
      </c>
    </row>
    <row r="877" spans="2:2">
      <c r="B877">
        <f t="shared" si="13"/>
        <v>0</v>
      </c>
    </row>
    <row r="878" spans="2:2">
      <c r="B878">
        <f t="shared" si="13"/>
        <v>0</v>
      </c>
    </row>
    <row r="879" spans="2:2">
      <c r="B879">
        <f t="shared" si="13"/>
        <v>0</v>
      </c>
    </row>
    <row r="880" spans="2:2">
      <c r="B880">
        <f t="shared" si="13"/>
        <v>0</v>
      </c>
    </row>
    <row r="881" spans="2:2">
      <c r="B881">
        <f t="shared" si="13"/>
        <v>0</v>
      </c>
    </row>
    <row r="882" spans="2:2">
      <c r="B882">
        <f t="shared" si="13"/>
        <v>0</v>
      </c>
    </row>
    <row r="883" spans="2:2">
      <c r="B883">
        <f t="shared" si="13"/>
        <v>0</v>
      </c>
    </row>
    <row r="884" spans="2:2">
      <c r="B884">
        <f t="shared" si="13"/>
        <v>0</v>
      </c>
    </row>
    <row r="885" spans="2:2">
      <c r="B885">
        <f t="shared" si="13"/>
        <v>0</v>
      </c>
    </row>
    <row r="886" spans="2:2">
      <c r="B886">
        <f t="shared" si="13"/>
        <v>0</v>
      </c>
    </row>
    <row r="887" spans="2:2">
      <c r="B887">
        <f t="shared" si="13"/>
        <v>0</v>
      </c>
    </row>
    <row r="888" spans="2:2">
      <c r="B888">
        <f t="shared" si="13"/>
        <v>0</v>
      </c>
    </row>
    <row r="889" spans="2:2">
      <c r="B889">
        <f t="shared" si="13"/>
        <v>0</v>
      </c>
    </row>
    <row r="890" spans="2:2">
      <c r="B890">
        <f t="shared" si="13"/>
        <v>0</v>
      </c>
    </row>
    <row r="891" spans="2:2">
      <c r="B891">
        <f t="shared" si="13"/>
        <v>0</v>
      </c>
    </row>
    <row r="892" spans="2:2">
      <c r="B892">
        <f t="shared" si="13"/>
        <v>0</v>
      </c>
    </row>
    <row r="893" spans="2:2">
      <c r="B893">
        <f t="shared" si="13"/>
        <v>0</v>
      </c>
    </row>
    <row r="894" spans="2:2">
      <c r="B894">
        <f t="shared" si="13"/>
        <v>0</v>
      </c>
    </row>
    <row r="895" spans="2:2">
      <c r="B895">
        <f t="shared" si="13"/>
        <v>0</v>
      </c>
    </row>
    <row r="896" spans="2:2">
      <c r="B896">
        <f t="shared" si="13"/>
        <v>0</v>
      </c>
    </row>
    <row r="897" spans="2:2">
      <c r="B897">
        <f t="shared" si="13"/>
        <v>0</v>
      </c>
    </row>
    <row r="898" spans="2:2">
      <c r="B898">
        <f t="shared" ref="B898:B912" si="14">LEN(A898)</f>
        <v>0</v>
      </c>
    </row>
    <row r="899" spans="2:2">
      <c r="B899">
        <f t="shared" si="14"/>
        <v>0</v>
      </c>
    </row>
    <row r="900" spans="2:2">
      <c r="B900">
        <f t="shared" si="14"/>
        <v>0</v>
      </c>
    </row>
    <row r="901" spans="2:2">
      <c r="B901">
        <f t="shared" si="14"/>
        <v>0</v>
      </c>
    </row>
    <row r="902" spans="2:2">
      <c r="B902">
        <f t="shared" si="14"/>
        <v>0</v>
      </c>
    </row>
    <row r="903" spans="2:2">
      <c r="B903">
        <f t="shared" si="14"/>
        <v>0</v>
      </c>
    </row>
    <row r="904" spans="2:2">
      <c r="B904">
        <f t="shared" si="14"/>
        <v>0</v>
      </c>
    </row>
    <row r="905" spans="2:2">
      <c r="B905">
        <f t="shared" si="14"/>
        <v>0</v>
      </c>
    </row>
    <row r="906" spans="2:2">
      <c r="B906">
        <f t="shared" si="14"/>
        <v>0</v>
      </c>
    </row>
    <row r="907" spans="2:2">
      <c r="B907">
        <f t="shared" si="14"/>
        <v>0</v>
      </c>
    </row>
    <row r="908" spans="2:2">
      <c r="B908">
        <f t="shared" si="14"/>
        <v>0</v>
      </c>
    </row>
    <row r="909" spans="2:2">
      <c r="B909">
        <f t="shared" si="14"/>
        <v>0</v>
      </c>
    </row>
    <row r="910" spans="2:2">
      <c r="B910">
        <f t="shared" si="14"/>
        <v>0</v>
      </c>
    </row>
    <row r="911" spans="2:2">
      <c r="B911">
        <f t="shared" si="14"/>
        <v>0</v>
      </c>
    </row>
    <row r="912" spans="2:2">
      <c r="B912">
        <f t="shared" si="14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ISPB</vt:lpstr>
      <vt:lpstr>Registros</vt:lpstr>
      <vt:lpstr>Header de Arquivo</vt:lpstr>
      <vt:lpstr>Header de Lote</vt:lpstr>
      <vt:lpstr>5.3. Detalhe Segmento A</vt:lpstr>
      <vt:lpstr>5.4. Detalhe Segmento B</vt:lpstr>
      <vt:lpstr>Trailer Lote</vt:lpstr>
      <vt:lpstr>Trailer Arquivo</vt:lpstr>
      <vt:lpstr>CNAB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Santos</dc:creator>
  <cp:lastModifiedBy>Guilherme Santos</cp:lastModifiedBy>
  <dcterms:created xsi:type="dcterms:W3CDTF">2023-11-08T00:12:52Z</dcterms:created>
  <dcterms:modified xsi:type="dcterms:W3CDTF">2025-01-30T15:50:25Z</dcterms:modified>
</cp:coreProperties>
</file>